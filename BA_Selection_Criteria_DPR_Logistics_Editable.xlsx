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project\vmcindia\"/>
    </mc:Choice>
  </mc:AlternateContent>
  <xr:revisionPtr revIDLastSave="0" documentId="13_ncr:1_{1DDBE0C1-FD62-4989-89B6-AFADBD20D028}" xr6:coauthVersionLast="47" xr6:coauthVersionMax="47" xr10:uidLastSave="{00000000-0000-0000-0000-000000000000}"/>
  <workbookProtection workbookAlgorithmName="SHA-512" workbookHashValue="+9a2Xa5CczQe1XyXtPaE/2FvDD1dLsl8kyWNzQjxpwhQTXtOK/eee/4qa1PkwWizficRxP032w0xani3uES5Bg==" workbookSaltValue="GcJF4cTpP8W2MVcBVLNJxQ==" workbookSpinCount="100000" lockStructure="1"/>
  <bookViews>
    <workbookView xWindow="-108" yWindow="-108" windowWidth="23256" windowHeight="12456" firstSheet="1" activeTab="1" xr2:uid="{00000000-000D-0000-FFFF-FFFF00000000}"/>
  </bookViews>
  <sheets>
    <sheet name="Requirements" sheetId="1" state="hidden" r:id="rId1"/>
    <sheet name="GUI" sheetId="2" r:id="rId2"/>
    <sheet name="Options Weight" sheetId="3" state="hidden" r:id="rId3"/>
  </sheets>
  <calcPr calcId="191029"/>
</workbook>
</file>

<file path=xl/calcChain.xml><?xml version="1.0" encoding="utf-8"?>
<calcChain xmlns="http://schemas.openxmlformats.org/spreadsheetml/2006/main">
  <c r="M51" i="2" l="1"/>
  <c r="L51" i="2"/>
  <c r="J51" i="2"/>
  <c r="G51" i="2"/>
  <c r="M50" i="2"/>
  <c r="L50" i="2"/>
  <c r="K50" i="2"/>
  <c r="M49" i="2"/>
  <c r="L49" i="2"/>
  <c r="K49" i="2"/>
  <c r="H49" i="2" s="1"/>
  <c r="M48" i="2"/>
  <c r="M52" i="2" s="1"/>
  <c r="L48" i="2"/>
  <c r="K48" i="2"/>
  <c r="H48" i="2"/>
  <c r="M47" i="2"/>
  <c r="L47" i="2"/>
  <c r="L52" i="2" s="1"/>
  <c r="G30" i="2"/>
  <c r="F30" i="2"/>
  <c r="G29" i="2"/>
  <c r="F29" i="2"/>
  <c r="G28" i="2"/>
  <c r="K51" i="2" s="1"/>
  <c r="H51" i="2" s="1"/>
  <c r="F28" i="2"/>
  <c r="G27" i="2"/>
  <c r="F27" i="2"/>
  <c r="G26" i="2"/>
  <c r="F26" i="2"/>
  <c r="G25" i="2"/>
  <c r="J50" i="2" s="1"/>
  <c r="G50" i="2" s="1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K47" i="2" s="1"/>
  <c r="F16" i="2"/>
  <c r="G15" i="2"/>
  <c r="J47" i="2" s="1"/>
  <c r="F15" i="2"/>
  <c r="J49" i="2" l="1"/>
  <c r="G49" i="2" s="1"/>
  <c r="J48" i="2"/>
  <c r="G48" i="2" s="1"/>
  <c r="H50" i="2"/>
  <c r="K52" i="2"/>
  <c r="H47" i="2"/>
  <c r="G47" i="2"/>
  <c r="J52" i="2" l="1"/>
  <c r="G52" i="2"/>
  <c r="G53" i="2"/>
  <c r="H52" i="2"/>
  <c r="H53" i="2"/>
  <c r="G54" i="2" l="1"/>
</calcChain>
</file>

<file path=xl/sharedStrings.xml><?xml version="1.0" encoding="utf-8"?>
<sst xmlns="http://schemas.openxmlformats.org/spreadsheetml/2006/main" count="315" uniqueCount="184">
  <si>
    <t>Requirements for BA Selection Criteria</t>
  </si>
  <si>
    <t>Create BA Selection criteria Form as a subsection of BA Database</t>
  </si>
  <si>
    <t>While adding a new BA/editing existing BA in the BA Database, this form is to be filled. Responsibility of filling the form lies with Procurement Manager</t>
  </si>
  <si>
    <t>On selecting predefined dropdown(radio button) on form page, system should be able to output actual &amp; highest score on score page &amp; then Summarized BA Scorecard on Result Page</t>
  </si>
  <si>
    <t>Questionnare &amp; associated weightage should be editable at the backend .Privilage- administrator on requirement of VP -Transportation</t>
  </si>
  <si>
    <t>Star Rating table should be editable at the backend. Privilage- administrator on requirement of VP -Transportation</t>
  </si>
  <si>
    <t>Queries &amp; Reports</t>
  </si>
  <si>
    <t>Selection Criteria conducted - Completion Status</t>
  </si>
  <si>
    <t>BA Buckets - Rating wise (1,2,3,4,5)</t>
  </si>
  <si>
    <t>BA Buckets - Requirement wise(MH &amp; GTH) &amp; Section wise %Score (A to E)</t>
  </si>
  <si>
    <t>Score report - Download adhoc report with all fields mentioned in GUI file to analyse , identify &amp; categorize BA capabilities</t>
  </si>
  <si>
    <t>Interaction with other databases</t>
  </si>
  <si>
    <t>BA Rating should be visible in RFQ tool to help enable shortlisting &amp; selection of BA</t>
  </si>
  <si>
    <t>Color Legend</t>
  </si>
  <si>
    <t>Form &amp; Score Page</t>
  </si>
  <si>
    <t>Fixed Inputs</t>
  </si>
  <si>
    <t>To be filled by evaluator</t>
  </si>
  <si>
    <t>Score Page</t>
  </si>
  <si>
    <t>Fixed (Defined Inputs)</t>
  </si>
  <si>
    <t>Auto output</t>
  </si>
  <si>
    <t>Result Page</t>
  </si>
  <si>
    <t>Final Scorecard</t>
  </si>
  <si>
    <t>BA Name</t>
  </si>
  <si>
    <t>DPR Logistics</t>
  </si>
  <si>
    <t>BA ID</t>
  </si>
  <si>
    <t>DPR-BA-001</t>
  </si>
  <si>
    <t>(To be picked from BA Master Database)</t>
  </si>
  <si>
    <t>BA Contact No</t>
  </si>
  <si>
    <t>Pan Card No</t>
  </si>
  <si>
    <t>BNLPK2073C</t>
  </si>
  <si>
    <t>GST No</t>
  </si>
  <si>
    <t>27BNLPK2073C1Z5</t>
  </si>
  <si>
    <t>Requirements</t>
  </si>
  <si>
    <t>Section</t>
  </si>
  <si>
    <t>Sr. No.</t>
  </si>
  <si>
    <t>Questionnaire</t>
  </si>
  <si>
    <t>Options (Select from Dropdown)</t>
  </si>
  <si>
    <t>Rating</t>
  </si>
  <si>
    <t>Actual Score</t>
  </si>
  <si>
    <t>Highest Score</t>
  </si>
  <si>
    <t>MH</t>
  </si>
  <si>
    <t>A</t>
  </si>
  <si>
    <t>A1</t>
  </si>
  <si>
    <t>Type of Company</t>
  </si>
  <si>
    <t>4. Sole Proprietorship</t>
  </si>
  <si>
    <t>GTH</t>
  </si>
  <si>
    <t>A2</t>
  </si>
  <si>
    <t>Age of Managing Director / Partner</t>
  </si>
  <si>
    <t>2. 40 - 50 Yrs</t>
  </si>
  <si>
    <t>A3</t>
  </si>
  <si>
    <t>Experience of MD/Partner in Logistics Industry</t>
  </si>
  <si>
    <t>3. Greater than 10 years</t>
  </si>
  <si>
    <t>A4</t>
  </si>
  <si>
    <t>Business Portfolio</t>
  </si>
  <si>
    <t>1. Total Logistic Service</t>
  </si>
  <si>
    <t>A5</t>
  </si>
  <si>
    <t>Profile of Customers</t>
  </si>
  <si>
    <t>Only MNC's/Pvt Co</t>
  </si>
  <si>
    <t>B</t>
  </si>
  <si>
    <t>B1</t>
  </si>
  <si>
    <t>Group Turnover</t>
  </si>
  <si>
    <t>&lt; 50 Cr</t>
  </si>
  <si>
    <t>B2</t>
  </si>
  <si>
    <t>Transport Business</t>
  </si>
  <si>
    <t>&lt; 30 Cr</t>
  </si>
  <si>
    <t>C</t>
  </si>
  <si>
    <t>C1</t>
  </si>
  <si>
    <t>Area of Transport operations</t>
  </si>
  <si>
    <t>National</t>
  </si>
  <si>
    <t>C2</t>
  </si>
  <si>
    <t>No. of  owned Trucks</t>
  </si>
  <si>
    <t>&lt; 20</t>
  </si>
  <si>
    <t>C3</t>
  </si>
  <si>
    <t>No. of Attached Trucks</t>
  </si>
  <si>
    <t>&lt; 100</t>
  </si>
  <si>
    <t>D</t>
  </si>
  <si>
    <t>D1</t>
  </si>
  <si>
    <t>Use of software for finance</t>
  </si>
  <si>
    <t>Management &amp; inter office connectivity</t>
  </si>
  <si>
    <t>D2</t>
  </si>
  <si>
    <t>GPS enabled vehicles</t>
  </si>
  <si>
    <t>Yes</t>
  </si>
  <si>
    <t>D3</t>
  </si>
  <si>
    <t>MIS</t>
  </si>
  <si>
    <t>System generated MIS</t>
  </si>
  <si>
    <t>E</t>
  </si>
  <si>
    <t>E1</t>
  </si>
  <si>
    <t>Driver Training Program</t>
  </si>
  <si>
    <t>E2</t>
  </si>
  <si>
    <t>Driver Safety/Insurance</t>
  </si>
  <si>
    <t>E3</t>
  </si>
  <si>
    <t>Driver Social Welfare</t>
  </si>
  <si>
    <t>to be filled by MLL</t>
  </si>
  <si>
    <t>Review Date</t>
  </si>
  <si>
    <t>03-Sep-2026</t>
  </si>
  <si>
    <t>Reviewer Name</t>
  </si>
  <si>
    <t>Procurement / Ops Review — DPR Logistics</t>
  </si>
  <si>
    <t>Subjective Assesment</t>
  </si>
  <si>
    <t>Description (Max 100 words)</t>
  </si>
  <si>
    <t>Transperancy of Accounts</t>
  </si>
  <si>
    <t>Books and GST billing maintained digitally via DPR Logistics ERP with LR, tax invoice and money receipt trail.</t>
  </si>
  <si>
    <t>Profit Sharing</t>
  </si>
  <si>
    <t>Transparent freight billing with GST invoice (FCM) and clear party ledger / outstanding reports.</t>
  </si>
  <si>
    <t>Ability to see long term</t>
  </si>
  <si>
    <t>Focused on long-term contract lanes across Maharashtra, Gujarat and pan-India industrial cargo.</t>
  </si>
  <si>
    <t>Ability to work with MLL designed systems</t>
  </si>
  <si>
    <t>Already running digital LR booking, tracking, billing, POD and money receipt on dprlogistics.in ERP.</t>
  </si>
  <si>
    <t>Ambition</t>
  </si>
  <si>
    <t>Expanding digital customer portal, more lanes and attached fleet capacity.</t>
  </si>
  <si>
    <t>Potential to Grow</t>
  </si>
  <si>
    <t>Strong base in Kolhapur MIDC with national coverage and enterprise customers.</t>
  </si>
  <si>
    <t>Any other Matters</t>
  </si>
  <si>
    <t>Services: part load, FTL, trailer, container, warehousing, GC/LR online tracking, GST billing.</t>
  </si>
  <si>
    <t>BA ScoreCard</t>
  </si>
  <si>
    <t>Section Score</t>
  </si>
  <si>
    <t>Company Profile</t>
  </si>
  <si>
    <t>Financials</t>
  </si>
  <si>
    <t>Operations</t>
  </si>
  <si>
    <t>Systems</t>
  </si>
  <si>
    <t>Engagement</t>
  </si>
  <si>
    <t>Total Score</t>
  </si>
  <si>
    <t>Percentage Score</t>
  </si>
  <si>
    <t>Star Rating (0 to 5)</t>
  </si>
  <si>
    <t>Min GTH %</t>
  </si>
  <si>
    <t>Star Rating Table</t>
  </si>
  <si>
    <t>Min MH %</t>
  </si>
  <si>
    <t>A Rating of 3 and above is considered as Pass</t>
  </si>
  <si>
    <t>Company</t>
  </si>
  <si>
    <t>Weight</t>
  </si>
  <si>
    <t>Business Turnover</t>
  </si>
  <si>
    <t>Coverage</t>
  </si>
  <si>
    <t>Software</t>
  </si>
  <si>
    <t>Customers</t>
  </si>
  <si>
    <t>1. Limited Company</t>
  </si>
  <si>
    <t>High</t>
  </si>
  <si>
    <t>Low</t>
  </si>
  <si>
    <t>Local</t>
  </si>
  <si>
    <t>Both PSU's &amp; MNC/Pvt Co</t>
  </si>
  <si>
    <t>2. Private Limited</t>
  </si>
  <si>
    <t>&gt; 100  Cr.</t>
  </si>
  <si>
    <t>Use Financial Software</t>
  </si>
  <si>
    <t>Medium</t>
  </si>
  <si>
    <t>3. LLP</t>
  </si>
  <si>
    <t>50 - 70 Cr.</t>
  </si>
  <si>
    <t>Regional</t>
  </si>
  <si>
    <t>No Financial Software</t>
  </si>
  <si>
    <t>Only PSU's</t>
  </si>
  <si>
    <t>5. Father &amp; Sons Partnership</t>
  </si>
  <si>
    <t>6. Partnership</t>
  </si>
  <si>
    <t>Transport Turnover</t>
  </si>
  <si>
    <t>Owned Trucks</t>
  </si>
  <si>
    <t>GPS</t>
  </si>
  <si>
    <t>Driver Training</t>
  </si>
  <si>
    <t>Director Age</t>
  </si>
  <si>
    <t>No</t>
  </si>
  <si>
    <t>Zero</t>
  </si>
  <si>
    <t>1. Less than 40 Yrs</t>
  </si>
  <si>
    <t>&gt; 50 Cr</t>
  </si>
  <si>
    <t>&gt;50</t>
  </si>
  <si>
    <t>30 - 50 Cr</t>
  </si>
  <si>
    <t>20 - 49</t>
  </si>
  <si>
    <t>3. Greater than 50 Yrs</t>
  </si>
  <si>
    <t>Attached Trucks</t>
  </si>
  <si>
    <t>Driver Insurance</t>
  </si>
  <si>
    <t>Experience</t>
  </si>
  <si>
    <t>Auto alerts for Exception &amp; System generated MIS</t>
  </si>
  <si>
    <t>1. Less than 5 years</t>
  </si>
  <si>
    <t>&gt; 300</t>
  </si>
  <si>
    <t>Manual MIS &amp; Tracking</t>
  </si>
  <si>
    <t>2. 5 to 10 years</t>
  </si>
  <si>
    <t>100 - 299</t>
  </si>
  <si>
    <t>No MIS</t>
  </si>
  <si>
    <t>Portfolio</t>
  </si>
  <si>
    <t>Driver Welfare</t>
  </si>
  <si>
    <t>2. Diversified Business</t>
  </si>
  <si>
    <t>3. Only FTL</t>
  </si>
  <si>
    <t>4. FTL / LTL</t>
  </si>
  <si>
    <t>45 Yrs</t>
  </si>
  <si>
    <t>25 years</t>
  </si>
  <si>
    <t>7 Cr</t>
  </si>
  <si>
    <t>Maharashtra Rajasthan, Uttarakhand</t>
  </si>
  <si>
    <t>80+</t>
  </si>
  <si>
    <t>Proprietorship</t>
  </si>
  <si>
    <t>Customized In-house Accounting &amp; Finance Software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</si>
</sst>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i/>
      <sz val="8"/>
      <name val="Arial"/>
      <family val="2"/>
    </font>
    <font>
      <sz val="8"/>
      <name val="Arial"/>
      <family val="2"/>
    </font>
    <font>
      <sz val="8"/>
      <color rgb="FFCBD5E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/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4" fillId="2" borderId="3" xfId="0" applyFont="1" applyFill="1" applyBorder="1"/>
    <xf numFmtId="0" fontId="1" fillId="2" borderId="3" xfId="0" applyFont="1" applyFill="1" applyBorder="1"/>
    <xf numFmtId="0" fontId="1" fillId="0" borderId="3" xfId="0" applyFont="1" applyBorder="1"/>
    <xf numFmtId="0" fontId="3" fillId="3" borderId="3" xfId="0" applyFont="1" applyFill="1" applyBorder="1"/>
    <xf numFmtId="0" fontId="3" fillId="3" borderId="3" xfId="0" applyFont="1" applyFill="1" applyBorder="1" applyAlignment="1">
      <alignment wrapText="1"/>
    </xf>
    <xf numFmtId="0" fontId="1" fillId="4" borderId="3" xfId="0" applyFont="1" applyFill="1" applyBorder="1"/>
    <xf numFmtId="0" fontId="1" fillId="5" borderId="3" xfId="0" applyFont="1" applyFill="1" applyBorder="1"/>
    <xf numFmtId="0" fontId="3" fillId="6" borderId="3" xfId="0" applyFont="1" applyFill="1" applyBorder="1" applyAlignment="1">
      <alignment wrapText="1"/>
    </xf>
    <xf numFmtId="0" fontId="3" fillId="6" borderId="3" xfId="0" applyFont="1" applyFill="1" applyBorder="1"/>
    <xf numFmtId="0" fontId="4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7" borderId="3" xfId="0" applyFont="1" applyFill="1" applyBorder="1"/>
    <xf numFmtId="9" fontId="3" fillId="2" borderId="3" xfId="1" applyFont="1" applyFill="1" applyBorder="1" applyAlignment="1">
      <alignment horizontal="center"/>
    </xf>
    <xf numFmtId="0" fontId="1" fillId="8" borderId="3" xfId="0" applyFont="1" applyFill="1" applyBorder="1"/>
    <xf numFmtId="0" fontId="1" fillId="9" borderId="3" xfId="0" applyFont="1" applyFill="1" applyBorder="1"/>
    <xf numFmtId="0" fontId="3" fillId="10" borderId="3" xfId="0" applyFont="1" applyFill="1" applyBorder="1" applyAlignment="1">
      <alignment wrapText="1"/>
    </xf>
    <xf numFmtId="0" fontId="3" fillId="10" borderId="3" xfId="0" applyFont="1" applyFill="1" applyBorder="1" applyAlignment="1">
      <alignment horizontal="center"/>
    </xf>
    <xf numFmtId="9" fontId="1" fillId="11" borderId="3" xfId="0" applyNumberFormat="1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7" borderId="3" xfId="0" applyFont="1" applyFill="1" applyBorder="1" applyProtection="1">
      <protection locked="0"/>
    </xf>
    <xf numFmtId="0" fontId="1" fillId="0" borderId="0" xfId="0" applyFont="1" applyProtection="1">
      <protection locked="0"/>
    </xf>
    <xf numFmtId="0" fontId="1" fillId="9" borderId="3" xfId="0" applyFont="1" applyFill="1" applyBorder="1" applyProtection="1">
      <protection locked="0"/>
    </xf>
    <xf numFmtId="0" fontId="5" fillId="0" borderId="0" xfId="0" applyFont="1"/>
    <xf numFmtId="0" fontId="6" fillId="7" borderId="3" xfId="0" applyFont="1" applyFill="1" applyBorder="1" applyProtection="1">
      <protection locked="0"/>
    </xf>
    <xf numFmtId="0" fontId="3" fillId="0" borderId="3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3" fillId="2" borderId="3" xfId="0" applyFont="1" applyFill="1" applyBorder="1" applyAlignment="1">
      <alignment horizontal="center"/>
    </xf>
    <xf numFmtId="0" fontId="3" fillId="11" borderId="3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3" fillId="11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80"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alignment horizontal="general" vertical="bottom" wrapText="1"/>
    </dxf>
    <dxf>
      <font>
        <strike val="0"/>
        <outline val="0"/>
        <shadow val="0"/>
        <vertAlign val="baseline"/>
        <sz val="8"/>
        <color auto="1"/>
        <name val="Arial"/>
      </font>
    </dxf>
    <dxf>
      <font>
        <strike val="0"/>
        <outline val="0"/>
        <shadow val="0"/>
        <vertAlign val="baseline"/>
        <sz val="8"/>
        <color auto="1"/>
        <name val="Arial"/>
      </font>
    </dxf>
    <dxf>
      <font>
        <strike val="0"/>
        <outline val="0"/>
        <shadow val="0"/>
        <vertAlign val="baseline"/>
        <sz val="8"/>
        <color auto="1"/>
        <name val="Arial"/>
      </font>
    </dxf>
    <dxf>
      <font>
        <strike val="0"/>
        <outline val="0"/>
        <shadow val="0"/>
        <vertAlign val="baseline"/>
        <sz val="8"/>
        <color auto="1"/>
        <name val="Arial"/>
      </font>
    </dxf>
    <dxf>
      <font>
        <strike val="0"/>
        <outline val="0"/>
        <shadow val="0"/>
        <vertAlign val="baseline"/>
        <sz val="8"/>
        <color auto="1"/>
        <name val="Arial"/>
      </font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1_Company" displayName="A1_Company" ref="A1:C7" totalsRowShown="0" headerRowDxfId="79" dataDxfId="78">
  <autoFilter ref="A1:C7" xr:uid="{00000000-0009-0000-0100-000001000000}"/>
  <sortState xmlns:xlrd2="http://schemas.microsoft.com/office/spreadsheetml/2017/richdata2" ref="A2:C7">
    <sortCondition ref="A1:A7"/>
  </sortState>
  <tableColumns count="3">
    <tableColumn id="1" xr3:uid="{00000000-0010-0000-0000-000001000000}" name="Company" dataDxfId="77"/>
    <tableColumn id="2" xr3:uid="{00000000-0010-0000-0000-000002000000}" name="Rating" dataDxfId="76"/>
    <tableColumn id="3" xr3:uid="{00000000-0010-0000-0000-000003000000}" name="Weight" dataDxfId="75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2_Director_Age" displayName="A2_Director_Age" ref="A11:C14" totalsRowShown="0" headerRowDxfId="74" dataDxfId="73">
  <autoFilter ref="A11:C14" xr:uid="{00000000-0009-0000-0100-000002000000}"/>
  <sortState xmlns:xlrd2="http://schemas.microsoft.com/office/spreadsheetml/2017/richdata2" ref="A12:C14">
    <sortCondition ref="A11:A14"/>
  </sortState>
  <tableColumns count="3">
    <tableColumn id="1" xr3:uid="{00000000-0010-0000-0100-000001000000}" name="Director Age" dataDxfId="72"/>
    <tableColumn id="2" xr3:uid="{00000000-0010-0000-0100-000002000000}" name="Rating" dataDxfId="71"/>
    <tableColumn id="3" xr3:uid="{00000000-0010-0000-0100-000003000000}" name="Weight" dataDxfId="70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3_Experience" displayName="A3_Experience" ref="A18:C21" totalsRowShown="0" headerRowDxfId="69" dataDxfId="68">
  <autoFilter ref="A18:C21" xr:uid="{00000000-0009-0000-0100-000003000000}"/>
  <sortState xmlns:xlrd2="http://schemas.microsoft.com/office/spreadsheetml/2017/richdata2" ref="A19:C21">
    <sortCondition ref="A18:A21"/>
  </sortState>
  <tableColumns count="3">
    <tableColumn id="1" xr3:uid="{00000000-0010-0000-0200-000001000000}" name="Experience" dataDxfId="67"/>
    <tableColumn id="2" xr3:uid="{00000000-0010-0000-0200-000002000000}" name="Rating" dataDxfId="66"/>
    <tableColumn id="3" xr3:uid="{00000000-0010-0000-0200-000003000000}" name="Weight" dataDxfId="65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4_Portfolio" displayName="A4_Portfolio" ref="A25:C29" totalsRowShown="0" headerRowDxfId="64" dataDxfId="63">
  <autoFilter ref="A25:C29" xr:uid="{00000000-0009-0000-0100-000004000000}"/>
  <sortState xmlns:xlrd2="http://schemas.microsoft.com/office/spreadsheetml/2017/richdata2" ref="A26:C29">
    <sortCondition ref="A25:A29"/>
  </sortState>
  <tableColumns count="3">
    <tableColumn id="1" xr3:uid="{00000000-0010-0000-0300-000001000000}" name="Portfolio" dataDxfId="62"/>
    <tableColumn id="2" xr3:uid="{00000000-0010-0000-0300-000002000000}" name="Rating" dataDxfId="61"/>
    <tableColumn id="3" xr3:uid="{00000000-0010-0000-0300-000003000000}" name="Weight" dataDxfId="60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B1_BTurnover" displayName="B1_BTurnover" ref="F1:H4" totalsRowShown="0" headerRowDxfId="59" dataDxfId="58">
  <autoFilter ref="F1:H4" xr:uid="{00000000-0009-0000-0100-000005000000}"/>
  <sortState xmlns:xlrd2="http://schemas.microsoft.com/office/spreadsheetml/2017/richdata2" ref="F2:H4">
    <sortCondition ref="F1:F4"/>
  </sortState>
  <tableColumns count="3">
    <tableColumn id="1" xr3:uid="{00000000-0010-0000-0400-000001000000}" name="Business Turnover" dataDxfId="57"/>
    <tableColumn id="2" xr3:uid="{00000000-0010-0000-0400-000002000000}" name="Rating" dataDxfId="56"/>
    <tableColumn id="3" xr3:uid="{00000000-0010-0000-0400-000003000000}" name="Weight" dataDxfId="55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B2_TTurnover" displayName="B2_TTurnover" ref="F10:H13" totalsRowShown="0" headerRowDxfId="54" dataDxfId="53">
  <autoFilter ref="F10:H13" xr:uid="{00000000-0009-0000-0100-000006000000}"/>
  <sortState xmlns:xlrd2="http://schemas.microsoft.com/office/spreadsheetml/2017/richdata2" ref="F11:H13">
    <sortCondition ref="F10:F13"/>
  </sortState>
  <tableColumns count="3">
    <tableColumn id="1" xr3:uid="{00000000-0010-0000-0500-000001000000}" name="Transport Turnover" dataDxfId="52"/>
    <tableColumn id="2" xr3:uid="{00000000-0010-0000-0500-000002000000}" name="Rating" dataDxfId="51"/>
    <tableColumn id="3" xr3:uid="{00000000-0010-0000-0500-000003000000}" name="Weight" dataDxfId="50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_Coverage" displayName="C_Coverage" ref="K1:M4" totalsRowShown="0" headerRowDxfId="49" dataDxfId="48">
  <autoFilter ref="K1:M4" xr:uid="{00000000-0009-0000-0100-000007000000}"/>
  <sortState xmlns:xlrd2="http://schemas.microsoft.com/office/spreadsheetml/2017/richdata2" ref="K2:M4">
    <sortCondition ref="K1:K4"/>
  </sortState>
  <tableColumns count="3">
    <tableColumn id="1" xr3:uid="{00000000-0010-0000-0600-000001000000}" name="Coverage" dataDxfId="47"/>
    <tableColumn id="2" xr3:uid="{00000000-0010-0000-0600-000002000000}" name="Rating" dataDxfId="46"/>
    <tableColumn id="3" xr3:uid="{00000000-0010-0000-0600-000003000000}" name="Weight" dataDxfId="45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_Owned_Trucks" displayName="C_Owned_Trucks" ref="K10:M13" totalsRowShown="0" headerRowDxfId="44" dataDxfId="43">
  <autoFilter ref="K10:M13" xr:uid="{00000000-0009-0000-0100-000008000000}"/>
  <sortState xmlns:xlrd2="http://schemas.microsoft.com/office/spreadsheetml/2017/richdata2" ref="K11:M13">
    <sortCondition ref="K10:K13"/>
  </sortState>
  <tableColumns count="3">
    <tableColumn id="1" xr3:uid="{00000000-0010-0000-0700-000001000000}" name="Owned Trucks" dataDxfId="42"/>
    <tableColumn id="2" xr3:uid="{00000000-0010-0000-0700-000002000000}" name="Rating" dataDxfId="41"/>
    <tableColumn id="3" xr3:uid="{00000000-0010-0000-0700-000003000000}" name="Weight" dataDxfId="40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_Attached_Trucks" displayName="C_Attached_Trucks" ref="K17:M20" totalsRowShown="0" headerRowDxfId="39" dataDxfId="38">
  <autoFilter ref="K17:M20" xr:uid="{00000000-0009-0000-0100-000009000000}"/>
  <sortState xmlns:xlrd2="http://schemas.microsoft.com/office/spreadsheetml/2017/richdata2" ref="K18:M20">
    <sortCondition ref="K17:K20"/>
  </sortState>
  <tableColumns count="3">
    <tableColumn id="1" xr3:uid="{00000000-0010-0000-0800-000001000000}" name="Attached Trucks" dataDxfId="37"/>
    <tableColumn id="2" xr3:uid="{00000000-0010-0000-0800-000002000000}" name="Rating" dataDxfId="36"/>
    <tableColumn id="3" xr3:uid="{00000000-0010-0000-0800-000003000000}" name="Weight" dataDxfId="35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1_Software" displayName="D1_Software" ref="P1:R4" totalsRowShown="0" headerRowDxfId="34" dataDxfId="33">
  <autoFilter ref="P1:R4" xr:uid="{00000000-0009-0000-0100-00000A000000}"/>
  <tableColumns count="3">
    <tableColumn id="1" xr3:uid="{00000000-0010-0000-0900-000001000000}" name="Software" dataDxfId="32"/>
    <tableColumn id="2" xr3:uid="{00000000-0010-0000-0900-000002000000}" name="Rating" dataDxfId="31"/>
    <tableColumn id="3" xr3:uid="{00000000-0010-0000-0900-000003000000}" name="Weight" dataDxfId="30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2_GPS" displayName="D2_GPS" ref="P10:R12" totalsRowShown="0" headerRowDxfId="29" dataDxfId="28">
  <autoFilter ref="P10:R12" xr:uid="{00000000-0009-0000-0100-00000B000000}"/>
  <tableColumns count="3">
    <tableColumn id="1" xr3:uid="{00000000-0010-0000-0A00-000001000000}" name="GPS" dataDxfId="27"/>
    <tableColumn id="2" xr3:uid="{00000000-0010-0000-0A00-000002000000}" name="Rating" dataDxfId="26"/>
    <tableColumn id="3" xr3:uid="{00000000-0010-0000-0A00-000003000000}" name="Weight" dataDxfId="25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3_MIS" displayName="D3_MIS" ref="P17:R21" totalsRowShown="0" headerRowDxfId="24" dataDxfId="23">
  <autoFilter ref="P17:R21" xr:uid="{00000000-0009-0000-0100-00000C000000}"/>
  <sortState xmlns:xlrd2="http://schemas.microsoft.com/office/spreadsheetml/2017/richdata2" ref="P18:R21">
    <sortCondition ref="P17:P21"/>
  </sortState>
  <tableColumns count="3">
    <tableColumn id="1" xr3:uid="{00000000-0010-0000-0B00-000001000000}" name="MIS" dataDxfId="22"/>
    <tableColumn id="2" xr3:uid="{00000000-0010-0000-0B00-000002000000}" name="Rating" dataDxfId="21"/>
    <tableColumn id="3" xr3:uid="{00000000-0010-0000-0B00-000003000000}" name="Weight" dataDxfId="20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E1_Customers" displayName="E1_Customers" ref="U1:W4" totalsRowShown="0" headerRowDxfId="19" dataDxfId="18">
  <autoFilter ref="U1:W4" xr:uid="{00000000-0009-0000-0100-00000D000000}"/>
  <sortState xmlns:xlrd2="http://schemas.microsoft.com/office/spreadsheetml/2017/richdata2" ref="U2:W4">
    <sortCondition ref="U1:U4"/>
  </sortState>
  <tableColumns count="3">
    <tableColumn id="1" xr3:uid="{00000000-0010-0000-0C00-000001000000}" name="Customers" dataDxfId="17"/>
    <tableColumn id="2" xr3:uid="{00000000-0010-0000-0C00-000002000000}" name="Rating" dataDxfId="16"/>
    <tableColumn id="3" xr3:uid="{00000000-0010-0000-0C00-000003000000}" name="Weight" dataDxfId="15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2_DTraining" displayName="E2_DTraining" ref="U10:W12" totalsRowShown="0" headerRowDxfId="14" dataDxfId="13">
  <autoFilter ref="U10:W12" xr:uid="{00000000-0009-0000-0100-00000E000000}"/>
  <sortState xmlns:xlrd2="http://schemas.microsoft.com/office/spreadsheetml/2017/richdata2" ref="U11:W12">
    <sortCondition ref="U10:U12"/>
  </sortState>
  <tableColumns count="3">
    <tableColumn id="1" xr3:uid="{00000000-0010-0000-0D00-000001000000}" name="Driver Training" dataDxfId="12"/>
    <tableColumn id="2" xr3:uid="{00000000-0010-0000-0D00-000002000000}" name="Rating" dataDxfId="11"/>
    <tableColumn id="3" xr3:uid="{00000000-0010-0000-0D00-000003000000}" name="Weight" dataDxfId="10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3_DInsurance" displayName="E3_DInsurance" ref="U17:W19" totalsRowShown="0" headerRowDxfId="9" dataDxfId="8">
  <autoFilter ref="U17:W19" xr:uid="{00000000-0009-0000-0100-00000F000000}"/>
  <sortState xmlns:xlrd2="http://schemas.microsoft.com/office/spreadsheetml/2017/richdata2" ref="U18:W19">
    <sortCondition ref="U17:U19"/>
  </sortState>
  <tableColumns count="3">
    <tableColumn id="1" xr3:uid="{00000000-0010-0000-0E00-000001000000}" name="Driver Insurance" dataDxfId="7"/>
    <tableColumn id="2" xr3:uid="{00000000-0010-0000-0E00-000002000000}" name="Rating" dataDxfId="6"/>
    <tableColumn id="3" xr3:uid="{00000000-0010-0000-0E00-000003000000}" name="Weight" dataDxfId="5"/>
  </tableColumns>
  <tableStyleInfo name="TableStyleLight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4_DWelfare" displayName="E4_DWelfare" ref="U25:W27" totalsRowShown="0" headerRowDxfId="4" dataDxfId="3">
  <autoFilter ref="U25:W27" xr:uid="{00000000-0009-0000-0100-000010000000}"/>
  <sortState xmlns:xlrd2="http://schemas.microsoft.com/office/spreadsheetml/2017/richdata2" ref="U26:W27">
    <sortCondition ref="U25:U27"/>
  </sortState>
  <tableColumns count="3">
    <tableColumn id="1" xr3:uid="{00000000-0010-0000-0F00-000001000000}" name="Driver Welfare" dataDxfId="2"/>
    <tableColumn id="2" xr3:uid="{00000000-0010-0000-0F00-000002000000}" name="Rating" dataDxfId="1"/>
    <tableColumn id="3" xr3:uid="{00000000-0010-0000-0F00-000003000000}" name="Weigh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>
      <selection activeCell="C4" sqref="C4"/>
    </sheetView>
  </sheetViews>
  <sheetFormatPr defaultRowHeight="13.2" x14ac:dyDescent="0.25"/>
  <cols>
    <col min="1" max="1" width="3.6640625" customWidth="1"/>
  </cols>
  <sheetData>
    <row r="1" spans="1:2" x14ac:dyDescent="0.25">
      <c r="A1" t="s">
        <v>0</v>
      </c>
    </row>
    <row r="2" spans="1:2" x14ac:dyDescent="0.25">
      <c r="A2">
        <v>1</v>
      </c>
      <c r="B2" t="s">
        <v>1</v>
      </c>
    </row>
    <row r="3" spans="1:2" x14ac:dyDescent="0.25">
      <c r="A3">
        <v>1.1000000000000001</v>
      </c>
      <c r="B3" t="s">
        <v>2</v>
      </c>
    </row>
    <row r="4" spans="1:2" x14ac:dyDescent="0.25">
      <c r="A4">
        <v>1.2</v>
      </c>
      <c r="B4" t="s">
        <v>3</v>
      </c>
    </row>
    <row r="5" spans="1:2" x14ac:dyDescent="0.25">
      <c r="A5">
        <v>1.3</v>
      </c>
      <c r="B5" t="s">
        <v>4</v>
      </c>
    </row>
    <row r="6" spans="1:2" x14ac:dyDescent="0.25">
      <c r="A6">
        <v>1.4</v>
      </c>
      <c r="B6" t="s">
        <v>5</v>
      </c>
    </row>
    <row r="8" spans="1:2" x14ac:dyDescent="0.25">
      <c r="A8">
        <v>2</v>
      </c>
      <c r="B8" t="s">
        <v>6</v>
      </c>
    </row>
    <row r="9" spans="1:2" x14ac:dyDescent="0.25">
      <c r="A9">
        <v>2.1</v>
      </c>
      <c r="B9" t="s">
        <v>7</v>
      </c>
    </row>
    <row r="10" spans="1:2" x14ac:dyDescent="0.25">
      <c r="A10">
        <v>2.2000000000000002</v>
      </c>
      <c r="B10" t="s">
        <v>8</v>
      </c>
    </row>
    <row r="11" spans="1:2" x14ac:dyDescent="0.25">
      <c r="A11">
        <v>2.2999999999999998</v>
      </c>
      <c r="B11" t="s">
        <v>9</v>
      </c>
    </row>
    <row r="12" spans="1:2" x14ac:dyDescent="0.25">
      <c r="A12">
        <v>2.4</v>
      </c>
      <c r="B12" t="s">
        <v>10</v>
      </c>
    </row>
    <row r="14" spans="1:2" x14ac:dyDescent="0.25">
      <c r="A14">
        <v>3</v>
      </c>
      <c r="B14" t="s">
        <v>11</v>
      </c>
    </row>
    <row r="15" spans="1:2" x14ac:dyDescent="0.25">
      <c r="A15">
        <v>3.1</v>
      </c>
      <c r="B15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O64"/>
  <sheetViews>
    <sheetView tabSelected="1" topLeftCell="C7" zoomScaleNormal="100" workbookViewId="0">
      <selection activeCell="E15" sqref="E15"/>
    </sheetView>
  </sheetViews>
  <sheetFormatPr defaultColWidth="9.109375" defaultRowHeight="10.199999999999999" x14ac:dyDescent="0.2"/>
  <cols>
    <col min="1" max="2" width="13" style="1" hidden="1" customWidth="1"/>
    <col min="3" max="3" width="6" style="1" bestFit="1" customWidth="1"/>
    <col min="4" max="4" width="33.44140625" style="1" bestFit="1" customWidth="1"/>
    <col min="5" max="5" width="38.88671875" style="1" customWidth="1"/>
    <col min="6" max="8" width="9.109375" style="1" hidden="1" customWidth="1"/>
    <col min="9" max="9" width="13" style="1" hidden="1" customWidth="1"/>
    <col min="10" max="15" width="9.109375" style="1" customWidth="1"/>
    <col min="16" max="16384" width="9.109375" style="1"/>
  </cols>
  <sheetData>
    <row r="1" spans="1:8" ht="13.2" hidden="1" x14ac:dyDescent="0.25">
      <c r="C1" s="28" t="s">
        <v>13</v>
      </c>
      <c r="D1" s="29"/>
      <c r="E1" s="30"/>
    </row>
    <row r="2" spans="1:8" hidden="1" x14ac:dyDescent="0.2">
      <c r="C2" s="17"/>
      <c r="D2" s="5" t="s">
        <v>14</v>
      </c>
      <c r="E2" s="5" t="s">
        <v>15</v>
      </c>
    </row>
    <row r="3" spans="1:8" hidden="1" x14ac:dyDescent="0.2">
      <c r="C3" s="15"/>
      <c r="D3" s="5" t="s">
        <v>14</v>
      </c>
      <c r="E3" s="5" t="s">
        <v>16</v>
      </c>
    </row>
    <row r="4" spans="1:8" hidden="1" x14ac:dyDescent="0.2">
      <c r="C4" s="18"/>
      <c r="D4" s="5" t="s">
        <v>17</v>
      </c>
      <c r="E4" s="5" t="s">
        <v>18</v>
      </c>
    </row>
    <row r="5" spans="1:8" hidden="1" x14ac:dyDescent="0.2">
      <c r="C5" s="9"/>
      <c r="D5" s="5" t="s">
        <v>17</v>
      </c>
      <c r="E5" s="5" t="s">
        <v>19</v>
      </c>
    </row>
    <row r="6" spans="1:8" hidden="1" x14ac:dyDescent="0.2">
      <c r="C6" s="4"/>
      <c r="D6" s="5" t="s">
        <v>20</v>
      </c>
      <c r="E6" s="5" t="s">
        <v>21</v>
      </c>
    </row>
    <row r="7" spans="1:8" x14ac:dyDescent="0.2">
      <c r="C7" s="24"/>
      <c r="D7" s="24"/>
      <c r="E7" s="24"/>
    </row>
    <row r="8" spans="1:8" x14ac:dyDescent="0.2">
      <c r="D8" s="6" t="s">
        <v>22</v>
      </c>
      <c r="E8" s="23" t="s">
        <v>23</v>
      </c>
    </row>
    <row r="9" spans="1:8" x14ac:dyDescent="0.2">
      <c r="D9" s="6" t="s">
        <v>24</v>
      </c>
      <c r="E9" s="23" t="s">
        <v>25</v>
      </c>
      <c r="F9" s="1" t="s">
        <v>26</v>
      </c>
    </row>
    <row r="10" spans="1:8" x14ac:dyDescent="0.2">
      <c r="D10" s="6" t="s">
        <v>27</v>
      </c>
      <c r="E10" s="23">
        <v>9371662142</v>
      </c>
    </row>
    <row r="11" spans="1:8" x14ac:dyDescent="0.2">
      <c r="D11" s="6" t="s">
        <v>28</v>
      </c>
      <c r="E11" s="23" t="s">
        <v>29</v>
      </c>
    </row>
    <row r="12" spans="1:8" x14ac:dyDescent="0.2">
      <c r="D12" s="6" t="s">
        <v>30</v>
      </c>
      <c r="E12" s="23" t="s">
        <v>31</v>
      </c>
    </row>
    <row r="14" spans="1:8" ht="20.399999999999999" customHeight="1" x14ac:dyDescent="0.2">
      <c r="A14" s="6" t="s">
        <v>32</v>
      </c>
      <c r="B14" s="7" t="s">
        <v>33</v>
      </c>
      <c r="C14" s="7" t="s">
        <v>34</v>
      </c>
      <c r="D14" s="7" t="s">
        <v>35</v>
      </c>
      <c r="E14" s="7" t="s">
        <v>36</v>
      </c>
      <c r="F14" s="10" t="s">
        <v>37</v>
      </c>
      <c r="G14" s="10" t="s">
        <v>38</v>
      </c>
      <c r="H14" s="19" t="s">
        <v>39</v>
      </c>
    </row>
    <row r="15" spans="1:8" x14ac:dyDescent="0.2">
      <c r="A15" s="8" t="s">
        <v>40</v>
      </c>
      <c r="B15" s="8" t="s">
        <v>41</v>
      </c>
      <c r="C15" s="8" t="s">
        <v>42</v>
      </c>
      <c r="D15" s="8" t="s">
        <v>43</v>
      </c>
      <c r="E15" s="27" t="s">
        <v>182</v>
      </c>
      <c r="F15" s="9" t="e">
        <f>INDEX(A1_Company[],MATCH($E15,A1_Company[Company],0),2)</f>
        <v>#N/A</v>
      </c>
      <c r="G15" s="9" t="e">
        <f>INDEX('Options Weight'!$A$2:$C$7,MATCH($E15,'Options Weight'!$A$2:$A$7,0),3)</f>
        <v>#N/A</v>
      </c>
      <c r="H15" s="18">
        <v>3</v>
      </c>
    </row>
    <row r="16" spans="1:8" x14ac:dyDescent="0.2">
      <c r="A16" s="8" t="s">
        <v>45</v>
      </c>
      <c r="B16" s="8" t="s">
        <v>41</v>
      </c>
      <c r="C16" s="8" t="s">
        <v>46</v>
      </c>
      <c r="D16" s="8" t="s">
        <v>47</v>
      </c>
      <c r="E16" s="23" t="s">
        <v>177</v>
      </c>
      <c r="F16" s="9" t="e">
        <f>INDEX(A2_Director_Age[],MATCH($E16,A2_Director_Age[Director Age],0),2)</f>
        <v>#N/A</v>
      </c>
      <c r="G16" s="9" t="e">
        <f>INDEX('Options Weight'!$A$12:$C$14,MATCH($E16,'Options Weight'!$A$12:$A$14,0),3)</f>
        <v>#N/A</v>
      </c>
      <c r="H16" s="18">
        <v>3</v>
      </c>
    </row>
    <row r="17" spans="1:8" x14ac:dyDescent="0.2">
      <c r="A17" s="8" t="s">
        <v>45</v>
      </c>
      <c r="B17" s="8" t="s">
        <v>41</v>
      </c>
      <c r="C17" s="8" t="s">
        <v>49</v>
      </c>
      <c r="D17" s="8" t="s">
        <v>50</v>
      </c>
      <c r="E17" s="23" t="s">
        <v>178</v>
      </c>
      <c r="F17" s="9" t="str">
        <f>INDEX(A3_Experience[],MATCH($E17,A3_Experience[Experience]),2)</f>
        <v>Medium</v>
      </c>
      <c r="G17" s="9">
        <f>INDEX(A3_Experience[],MATCH($E17,A3_Experience[Experience]),3)</f>
        <v>2</v>
      </c>
      <c r="H17" s="18">
        <v>3</v>
      </c>
    </row>
    <row r="18" spans="1:8" x14ac:dyDescent="0.2">
      <c r="A18" s="8" t="s">
        <v>45</v>
      </c>
      <c r="B18" s="8" t="s">
        <v>41</v>
      </c>
      <c r="C18" s="8" t="s">
        <v>52</v>
      </c>
      <c r="D18" s="8" t="s">
        <v>53</v>
      </c>
      <c r="E18" s="23" t="s">
        <v>54</v>
      </c>
      <c r="F18" s="9" t="str">
        <f>INDEX(A4_Portfolio[],MATCH($E18,A4_Portfolio[Portfolio]),2)</f>
        <v>High</v>
      </c>
      <c r="G18" s="9">
        <f>INDEX('Options Weight'!$A$26:$C$29,MATCH($E18,'Options Weight'!$A$26:$A$29),3)</f>
        <v>3</v>
      </c>
      <c r="H18" s="18">
        <v>3</v>
      </c>
    </row>
    <row r="19" spans="1:8" x14ac:dyDescent="0.2">
      <c r="A19" s="8" t="s">
        <v>45</v>
      </c>
      <c r="B19" s="8" t="s">
        <v>41</v>
      </c>
      <c r="C19" s="8" t="s">
        <v>55</v>
      </c>
      <c r="D19" s="8" t="s">
        <v>56</v>
      </c>
      <c r="E19" s="23" t="s">
        <v>57</v>
      </c>
      <c r="F19" s="9" t="str">
        <f>INDEX(E1_Customers[],MATCH($E19,E1_Customers[Customers]),2)</f>
        <v>Medium</v>
      </c>
      <c r="G19" s="9">
        <f>INDEX(E1_Customers[],MATCH($E19,E1_Customers[Customers]),3)</f>
        <v>2</v>
      </c>
      <c r="H19" s="18">
        <v>3</v>
      </c>
    </row>
    <row r="20" spans="1:8" x14ac:dyDescent="0.2">
      <c r="A20" s="8" t="s">
        <v>40</v>
      </c>
      <c r="B20" s="8" t="s">
        <v>58</v>
      </c>
      <c r="C20" s="8" t="s">
        <v>59</v>
      </c>
      <c r="D20" s="8" t="s">
        <v>60</v>
      </c>
      <c r="E20" s="23" t="s">
        <v>179</v>
      </c>
      <c r="F20" s="9" t="str">
        <f>INDEX(B1_BTurnover[],MATCH($E20,B1_BTurnover[Business Turnover]),2)</f>
        <v>Medium</v>
      </c>
      <c r="G20" s="9">
        <f>INDEX(B1_BTurnover[],MATCH($E20,B1_BTurnover[Business Turnover]),3)</f>
        <v>2</v>
      </c>
      <c r="H20" s="18">
        <v>3</v>
      </c>
    </row>
    <row r="21" spans="1:8" ht="12.75" customHeight="1" x14ac:dyDescent="0.2">
      <c r="A21" s="8" t="s">
        <v>40</v>
      </c>
      <c r="B21" s="8" t="s">
        <v>58</v>
      </c>
      <c r="C21" s="8" t="s">
        <v>62</v>
      </c>
      <c r="D21" s="8" t="s">
        <v>63</v>
      </c>
      <c r="E21" s="23" t="s">
        <v>179</v>
      </c>
      <c r="F21" s="9" t="str">
        <f>INDEX(B2_TTurnover[],MATCH($E21,B2_TTurnover[Transport Turnover]),2)</f>
        <v>Medium</v>
      </c>
      <c r="G21" s="9">
        <f>INDEX(B2_TTurnover[],MATCH($E21,B2_TTurnover[Transport Turnover]),3)</f>
        <v>2</v>
      </c>
      <c r="H21" s="18">
        <v>3</v>
      </c>
    </row>
    <row r="22" spans="1:8" x14ac:dyDescent="0.2">
      <c r="A22" s="8" t="s">
        <v>40</v>
      </c>
      <c r="B22" s="8" t="s">
        <v>65</v>
      </c>
      <c r="C22" s="8" t="s">
        <v>66</v>
      </c>
      <c r="D22" s="8" t="s">
        <v>67</v>
      </c>
      <c r="E22" s="23" t="s">
        <v>180</v>
      </c>
      <c r="F22" s="9" t="str">
        <f>INDEX(C_Coverage[],MATCH($E22,C_Coverage[Coverage]),2)</f>
        <v>Low</v>
      </c>
      <c r="G22" s="9">
        <f>INDEX(C_Coverage[],MATCH($E22,C_Coverage[Coverage]),3)</f>
        <v>3</v>
      </c>
      <c r="H22" s="18">
        <v>3</v>
      </c>
    </row>
    <row r="23" spans="1:8" x14ac:dyDescent="0.2">
      <c r="A23" s="8" t="s">
        <v>40</v>
      </c>
      <c r="B23" s="8" t="s">
        <v>65</v>
      </c>
      <c r="C23" s="8" t="s">
        <v>69</v>
      </c>
      <c r="D23" s="8" t="s">
        <v>70</v>
      </c>
      <c r="E23" s="23">
        <v>10</v>
      </c>
      <c r="F23" s="9" t="e">
        <f>INDEX(C_Owned_Trucks[],MATCH($E23,C_Owned_Trucks[Owned Trucks]),2)</f>
        <v>#N/A</v>
      </c>
      <c r="G23" s="9" t="e">
        <f>INDEX(C_Owned_Trucks[],MATCH($E23,C_Owned_Trucks[Owned Trucks]),3)</f>
        <v>#N/A</v>
      </c>
      <c r="H23" s="18">
        <v>3</v>
      </c>
    </row>
    <row r="24" spans="1:8" x14ac:dyDescent="0.2">
      <c r="A24" s="8" t="s">
        <v>40</v>
      </c>
      <c r="B24" s="8" t="s">
        <v>65</v>
      </c>
      <c r="C24" s="8" t="s">
        <v>72</v>
      </c>
      <c r="D24" s="8" t="s">
        <v>73</v>
      </c>
      <c r="E24" s="23" t="s">
        <v>181</v>
      </c>
      <c r="F24" s="9" t="str">
        <f>INDEX(C_Attached_Trucks[],MATCH($E24,C_Attached_Trucks[Attached Trucks]),2)</f>
        <v>Medium</v>
      </c>
      <c r="G24" s="9">
        <f>INDEX(C_Attached_Trucks[],MATCH($E24,C_Attached_Trucks[Attached Trucks]),3)</f>
        <v>2</v>
      </c>
      <c r="H24" s="18">
        <v>3</v>
      </c>
    </row>
    <row r="25" spans="1:8" x14ac:dyDescent="0.2">
      <c r="A25" s="8" t="s">
        <v>40</v>
      </c>
      <c r="B25" s="8" t="s">
        <v>75</v>
      </c>
      <c r="C25" s="8" t="s">
        <v>76</v>
      </c>
      <c r="D25" s="8" t="s">
        <v>77</v>
      </c>
      <c r="E25" s="23" t="s">
        <v>183</v>
      </c>
      <c r="F25" s="9" t="e">
        <f>INDEX(D1_Software[],MATCH($E25,D1_Software[Software]),2)</f>
        <v>#N/A</v>
      </c>
      <c r="G25" s="9" t="e">
        <f>INDEX(D1_Software[],MATCH($E25,D1_Software[Software]),3)</f>
        <v>#N/A</v>
      </c>
      <c r="H25" s="18">
        <v>3</v>
      </c>
    </row>
    <row r="26" spans="1:8" x14ac:dyDescent="0.2">
      <c r="A26" s="8" t="s">
        <v>40</v>
      </c>
      <c r="B26" s="8" t="s">
        <v>75</v>
      </c>
      <c r="C26" s="8" t="s">
        <v>79</v>
      </c>
      <c r="D26" s="8" t="s">
        <v>80</v>
      </c>
      <c r="E26" s="23" t="s">
        <v>81</v>
      </c>
      <c r="F26" s="9" t="str">
        <f>INDEX(D2_GPS[],MATCH($E26,D2_GPS[GPS]),2)</f>
        <v>High</v>
      </c>
      <c r="G26" s="9">
        <f>INDEX(D2_GPS[],MATCH($E26,D2_GPS[GPS]),3)</f>
        <v>3</v>
      </c>
      <c r="H26" s="18">
        <v>3</v>
      </c>
    </row>
    <row r="27" spans="1:8" x14ac:dyDescent="0.2">
      <c r="A27" s="8" t="s">
        <v>40</v>
      </c>
      <c r="B27" s="8" t="s">
        <v>75</v>
      </c>
      <c r="C27" s="8" t="s">
        <v>82</v>
      </c>
      <c r="D27" s="8" t="s">
        <v>83</v>
      </c>
      <c r="E27" s="23" t="s">
        <v>84</v>
      </c>
      <c r="F27" s="9" t="str">
        <f>INDEX(D3_MIS[],MATCH($E27,D3_MIS[MIS]),2)</f>
        <v>Medium</v>
      </c>
      <c r="G27" s="9">
        <f>INDEX(D3_MIS[],MATCH($E27,D3_MIS[MIS]),3)</f>
        <v>2</v>
      </c>
      <c r="H27" s="18">
        <v>3</v>
      </c>
    </row>
    <row r="28" spans="1:8" x14ac:dyDescent="0.2">
      <c r="A28" s="8" t="s">
        <v>45</v>
      </c>
      <c r="B28" s="8" t="s">
        <v>85</v>
      </c>
      <c r="C28" s="8" t="s">
        <v>86</v>
      </c>
      <c r="D28" s="8" t="s">
        <v>87</v>
      </c>
      <c r="E28" s="23" t="s">
        <v>81</v>
      </c>
      <c r="F28" s="9" t="str">
        <f>INDEX(E2_DTraining[],MATCH($E28,E2_DTraining[Driver Training]),2)</f>
        <v>High</v>
      </c>
      <c r="G28" s="9">
        <f>INDEX(E2_DTraining[],MATCH($E28,E2_DTraining[Driver Training]),3)</f>
        <v>3</v>
      </c>
      <c r="H28" s="18">
        <v>3</v>
      </c>
    </row>
    <row r="29" spans="1:8" x14ac:dyDescent="0.2">
      <c r="A29" s="8" t="s">
        <v>45</v>
      </c>
      <c r="B29" s="8" t="s">
        <v>85</v>
      </c>
      <c r="C29" s="8" t="s">
        <v>88</v>
      </c>
      <c r="D29" s="8" t="s">
        <v>89</v>
      </c>
      <c r="E29" s="23" t="s">
        <v>81</v>
      </c>
      <c r="F29" s="9" t="str">
        <f>INDEX(E3_DInsurance[],MATCH($E29,E3_DInsurance[Driver Insurance]),2)</f>
        <v>High</v>
      </c>
      <c r="G29" s="9">
        <f>INDEX(E3_DInsurance[],MATCH($E29,E3_DInsurance[Driver Insurance]),3)</f>
        <v>3</v>
      </c>
      <c r="H29" s="18">
        <v>3</v>
      </c>
    </row>
    <row r="30" spans="1:8" x14ac:dyDescent="0.2">
      <c r="A30" s="8" t="s">
        <v>45</v>
      </c>
      <c r="B30" s="8" t="s">
        <v>85</v>
      </c>
      <c r="C30" s="8" t="s">
        <v>90</v>
      </c>
      <c r="D30" s="8" t="s">
        <v>91</v>
      </c>
      <c r="E30" s="23" t="s">
        <v>81</v>
      </c>
      <c r="F30" s="9" t="str">
        <f>INDEX(E4_DWelfare[],MATCH($E30,E4_DWelfare[Driver Welfare]),2)</f>
        <v>High</v>
      </c>
      <c r="G30" s="9">
        <f>INDEX(E4_DWelfare[],MATCH($E30,E4_DWelfare[Driver Welfare]),3)</f>
        <v>3</v>
      </c>
      <c r="H30" s="18">
        <v>3</v>
      </c>
    </row>
    <row r="32" spans="1:8" x14ac:dyDescent="0.2">
      <c r="D32" s="1" t="s">
        <v>92</v>
      </c>
    </row>
    <row r="33" spans="3:13" x14ac:dyDescent="0.2">
      <c r="D33" s="6" t="s">
        <v>93</v>
      </c>
      <c r="E33" s="23" t="s">
        <v>94</v>
      </c>
    </row>
    <row r="34" spans="3:13" x14ac:dyDescent="0.2">
      <c r="D34" s="6" t="s">
        <v>95</v>
      </c>
      <c r="E34" s="23" t="s">
        <v>96</v>
      </c>
    </row>
    <row r="35" spans="3:13" x14ac:dyDescent="0.2">
      <c r="C35" s="24"/>
      <c r="D35" s="24"/>
      <c r="E35" s="24"/>
    </row>
    <row r="36" spans="3:13" hidden="1" x14ac:dyDescent="0.2">
      <c r="D36" s="7" t="s">
        <v>97</v>
      </c>
      <c r="E36" s="7" t="s">
        <v>98</v>
      </c>
    </row>
    <row r="37" spans="3:13" hidden="1" x14ac:dyDescent="0.2">
      <c r="D37" s="8" t="s">
        <v>99</v>
      </c>
      <c r="E37" s="25" t="s">
        <v>100</v>
      </c>
    </row>
    <row r="38" spans="3:13" hidden="1" x14ac:dyDescent="0.2">
      <c r="D38" s="8" t="s">
        <v>101</v>
      </c>
      <c r="E38" s="25" t="s">
        <v>102</v>
      </c>
    </row>
    <row r="39" spans="3:13" hidden="1" x14ac:dyDescent="0.2">
      <c r="D39" s="8" t="s">
        <v>103</v>
      </c>
      <c r="E39" s="25" t="s">
        <v>104</v>
      </c>
    </row>
    <row r="40" spans="3:13" hidden="1" x14ac:dyDescent="0.2">
      <c r="D40" s="8" t="s">
        <v>105</v>
      </c>
      <c r="E40" s="25" t="s">
        <v>106</v>
      </c>
    </row>
    <row r="41" spans="3:13" hidden="1" x14ac:dyDescent="0.2">
      <c r="D41" s="8" t="s">
        <v>107</v>
      </c>
      <c r="E41" s="25" t="s">
        <v>108</v>
      </c>
    </row>
    <row r="42" spans="3:13" hidden="1" x14ac:dyDescent="0.2">
      <c r="D42" s="8" t="s">
        <v>109</v>
      </c>
      <c r="E42" s="25" t="s">
        <v>110</v>
      </c>
    </row>
    <row r="43" spans="3:13" hidden="1" x14ac:dyDescent="0.2">
      <c r="D43" s="8" t="s">
        <v>111</v>
      </c>
      <c r="E43" s="25" t="s">
        <v>112</v>
      </c>
    </row>
    <row r="44" spans="3:13" hidden="1" x14ac:dyDescent="0.2"/>
    <row r="45" spans="3:13" ht="13.2" hidden="1" x14ac:dyDescent="0.25">
      <c r="E45" s="31" t="s">
        <v>113</v>
      </c>
      <c r="F45" s="29"/>
      <c r="G45" s="29"/>
      <c r="H45" s="30"/>
      <c r="J45" s="11" t="s">
        <v>38</v>
      </c>
      <c r="K45" s="11"/>
      <c r="L45" s="11" t="s">
        <v>39</v>
      </c>
      <c r="M45" s="11"/>
    </row>
    <row r="46" spans="3:13" ht="13.2" hidden="1" x14ac:dyDescent="0.25">
      <c r="E46" s="31" t="s">
        <v>114</v>
      </c>
      <c r="F46" s="30"/>
      <c r="G46" s="14" t="s">
        <v>40</v>
      </c>
      <c r="H46" s="14" t="s">
        <v>45</v>
      </c>
      <c r="J46" s="11" t="s">
        <v>40</v>
      </c>
      <c r="K46" s="11" t="s">
        <v>45</v>
      </c>
      <c r="L46" s="11" t="s">
        <v>40</v>
      </c>
      <c r="M46" s="11" t="s">
        <v>45</v>
      </c>
    </row>
    <row r="47" spans="3:13" hidden="1" x14ac:dyDescent="0.2">
      <c r="E47" s="3" t="s">
        <v>115</v>
      </c>
      <c r="F47" s="12" t="s">
        <v>41</v>
      </c>
      <c r="G47" s="13" t="e">
        <f t="shared" ref="G47:H52" si="0">_xlfn.CONCAT(J47," of ",L47)</f>
        <v>#N/A</v>
      </c>
      <c r="H47" s="13" t="e">
        <f t="shared" si="0"/>
        <v>#N/A</v>
      </c>
      <c r="J47" s="9" t="e">
        <f t="shared" ref="J47:K51" si="1">SUMIFS($G$15:$G$30,$B$15:$B$30,$F47,$A$15:$A$30,J$46)</f>
        <v>#N/A</v>
      </c>
      <c r="K47" s="9" t="e">
        <f t="shared" si="1"/>
        <v>#N/A</v>
      </c>
      <c r="L47" s="9">
        <f t="shared" ref="L47:M51" si="2">SUMIFS($H$15:$H$30,$B$15:$B$30,$F47,$A$15:$A$30,L$46)</f>
        <v>3</v>
      </c>
      <c r="M47" s="9">
        <f t="shared" si="2"/>
        <v>12</v>
      </c>
    </row>
    <row r="48" spans="3:13" hidden="1" x14ac:dyDescent="0.2">
      <c r="E48" s="3" t="s">
        <v>116</v>
      </c>
      <c r="F48" s="12" t="s">
        <v>58</v>
      </c>
      <c r="G48" s="13" t="str">
        <f t="shared" si="0"/>
        <v>4 of 6</v>
      </c>
      <c r="H48" s="13" t="str">
        <f t="shared" si="0"/>
        <v>0 of 0</v>
      </c>
      <c r="J48" s="9">
        <f t="shared" si="1"/>
        <v>4</v>
      </c>
      <c r="K48" s="9">
        <f t="shared" si="1"/>
        <v>0</v>
      </c>
      <c r="L48" s="9">
        <f t="shared" si="2"/>
        <v>6</v>
      </c>
      <c r="M48" s="9">
        <f t="shared" si="2"/>
        <v>0</v>
      </c>
    </row>
    <row r="49" spans="5:15" hidden="1" x14ac:dyDescent="0.2">
      <c r="E49" s="3" t="s">
        <v>117</v>
      </c>
      <c r="F49" s="12" t="s">
        <v>65</v>
      </c>
      <c r="G49" s="13" t="e">
        <f t="shared" si="0"/>
        <v>#N/A</v>
      </c>
      <c r="H49" s="13" t="str">
        <f t="shared" si="0"/>
        <v>0 of 0</v>
      </c>
      <c r="J49" s="9" t="e">
        <f t="shared" si="1"/>
        <v>#N/A</v>
      </c>
      <c r="K49" s="9">
        <f t="shared" si="1"/>
        <v>0</v>
      </c>
      <c r="L49" s="9">
        <f t="shared" si="2"/>
        <v>9</v>
      </c>
      <c r="M49" s="9">
        <f t="shared" si="2"/>
        <v>0</v>
      </c>
    </row>
    <row r="50" spans="5:15" hidden="1" x14ac:dyDescent="0.2">
      <c r="E50" s="3" t="s">
        <v>118</v>
      </c>
      <c r="F50" s="12" t="s">
        <v>75</v>
      </c>
      <c r="G50" s="13" t="e">
        <f t="shared" si="0"/>
        <v>#N/A</v>
      </c>
      <c r="H50" s="13" t="str">
        <f t="shared" si="0"/>
        <v>0 of 0</v>
      </c>
      <c r="J50" s="9" t="e">
        <f t="shared" si="1"/>
        <v>#N/A</v>
      </c>
      <c r="K50" s="9">
        <f t="shared" si="1"/>
        <v>0</v>
      </c>
      <c r="L50" s="9">
        <f t="shared" si="2"/>
        <v>9</v>
      </c>
      <c r="M50" s="9">
        <f t="shared" si="2"/>
        <v>0</v>
      </c>
    </row>
    <row r="51" spans="5:15" hidden="1" x14ac:dyDescent="0.2">
      <c r="E51" s="3" t="s">
        <v>119</v>
      </c>
      <c r="F51" s="12" t="s">
        <v>85</v>
      </c>
      <c r="G51" s="13" t="str">
        <f t="shared" si="0"/>
        <v>0 of 0</v>
      </c>
      <c r="H51" s="13" t="str">
        <f t="shared" si="0"/>
        <v>9 of 9</v>
      </c>
      <c r="J51" s="9">
        <f t="shared" si="1"/>
        <v>0</v>
      </c>
      <c r="K51" s="9">
        <f t="shared" si="1"/>
        <v>9</v>
      </c>
      <c r="L51" s="9">
        <f t="shared" si="2"/>
        <v>0</v>
      </c>
      <c r="M51" s="9">
        <f t="shared" si="2"/>
        <v>9</v>
      </c>
    </row>
    <row r="52" spans="5:15" ht="13.2" hidden="1" x14ac:dyDescent="0.25">
      <c r="E52" s="31" t="s">
        <v>120</v>
      </c>
      <c r="F52" s="30"/>
      <c r="G52" s="14" t="e">
        <f t="shared" si="0"/>
        <v>#N/A</v>
      </c>
      <c r="H52" s="14" t="e">
        <f t="shared" si="0"/>
        <v>#N/A</v>
      </c>
      <c r="J52" s="9" t="e">
        <f>SUM(J47:J51)</f>
        <v>#N/A</v>
      </c>
      <c r="K52" s="9" t="e">
        <f>SUM(K47:K51)</f>
        <v>#N/A</v>
      </c>
      <c r="L52" s="9">
        <f>SUM(L47:L51)</f>
        <v>27</v>
      </c>
      <c r="M52" s="9">
        <f>SUM(M47:M51)</f>
        <v>21</v>
      </c>
    </row>
    <row r="53" spans="5:15" ht="13.2" hidden="1" x14ac:dyDescent="0.25">
      <c r="E53" s="31" t="s">
        <v>121</v>
      </c>
      <c r="F53" s="30"/>
      <c r="G53" s="16" t="e">
        <f>J52/L52</f>
        <v>#N/A</v>
      </c>
      <c r="H53" s="16" t="e">
        <f>K52/M52</f>
        <v>#N/A</v>
      </c>
    </row>
    <row r="54" spans="5:15" ht="13.2" hidden="1" x14ac:dyDescent="0.25">
      <c r="E54" s="31" t="s">
        <v>122</v>
      </c>
      <c r="F54" s="30"/>
      <c r="G54" s="31" t="e">
        <f>INDEX(K57:O61,MATCH(G53,J57:J61,1),MATCH(H53,K56:O56,1))</f>
        <v>#N/A</v>
      </c>
      <c r="H54" s="30"/>
    </row>
    <row r="55" spans="5:15" ht="13.2" hidden="1" x14ac:dyDescent="0.25">
      <c r="K55" s="35" t="s">
        <v>123</v>
      </c>
      <c r="L55" s="29"/>
      <c r="M55" s="29"/>
      <c r="N55" s="29"/>
      <c r="O55" s="30"/>
    </row>
    <row r="56" spans="5:15" hidden="1" x14ac:dyDescent="0.2">
      <c r="J56" s="20" t="s">
        <v>124</v>
      </c>
      <c r="K56" s="21">
        <v>0</v>
      </c>
      <c r="L56" s="21">
        <v>0.25</v>
      </c>
      <c r="M56" s="21">
        <v>0.5</v>
      </c>
      <c r="N56" s="21">
        <v>0.75</v>
      </c>
      <c r="O56" s="21">
        <v>1</v>
      </c>
    </row>
    <row r="57" spans="5:15" hidden="1" x14ac:dyDescent="0.2">
      <c r="I57" s="32" t="s">
        <v>125</v>
      </c>
      <c r="J57" s="21">
        <v>0</v>
      </c>
      <c r="K57" s="22">
        <v>0</v>
      </c>
      <c r="L57" s="22">
        <v>0</v>
      </c>
      <c r="M57" s="22">
        <v>0</v>
      </c>
      <c r="N57" s="22">
        <v>0</v>
      </c>
      <c r="O57" s="22">
        <v>0</v>
      </c>
    </row>
    <row r="58" spans="5:15" hidden="1" x14ac:dyDescent="0.2">
      <c r="I58" s="33"/>
      <c r="J58" s="21">
        <v>0.5</v>
      </c>
      <c r="K58" s="22">
        <v>1</v>
      </c>
      <c r="L58" s="22">
        <v>1</v>
      </c>
      <c r="M58" s="22">
        <v>2</v>
      </c>
      <c r="N58" s="22">
        <v>3</v>
      </c>
      <c r="O58" s="22">
        <v>3</v>
      </c>
    </row>
    <row r="59" spans="5:15" hidden="1" x14ac:dyDescent="0.2">
      <c r="I59" s="33"/>
      <c r="J59" s="21">
        <v>0.6</v>
      </c>
      <c r="K59" s="22">
        <v>2</v>
      </c>
      <c r="L59" s="22">
        <v>3</v>
      </c>
      <c r="M59" s="22">
        <v>3</v>
      </c>
      <c r="N59" s="22">
        <v>4</v>
      </c>
      <c r="O59" s="22">
        <v>4</v>
      </c>
    </row>
    <row r="60" spans="5:15" hidden="1" x14ac:dyDescent="0.2">
      <c r="I60" s="33"/>
      <c r="J60" s="21">
        <v>0.8</v>
      </c>
      <c r="K60" s="22">
        <v>3</v>
      </c>
      <c r="L60" s="22">
        <v>4</v>
      </c>
      <c r="M60" s="22">
        <v>4</v>
      </c>
      <c r="N60" s="22">
        <v>4</v>
      </c>
      <c r="O60" s="22">
        <v>5</v>
      </c>
    </row>
    <row r="61" spans="5:15" hidden="1" x14ac:dyDescent="0.2">
      <c r="I61" s="34"/>
      <c r="J61" s="21">
        <v>1</v>
      </c>
      <c r="K61" s="22">
        <v>4</v>
      </c>
      <c r="L61" s="22">
        <v>4</v>
      </c>
      <c r="M61" s="22">
        <v>5</v>
      </c>
      <c r="N61" s="22">
        <v>5</v>
      </c>
      <c r="O61" s="22">
        <v>5</v>
      </c>
    </row>
    <row r="62" spans="5:15" hidden="1" x14ac:dyDescent="0.2"/>
    <row r="63" spans="5:15" hidden="1" x14ac:dyDescent="0.2">
      <c r="I63" s="1" t="s">
        <v>126</v>
      </c>
    </row>
    <row r="64" spans="5:15" hidden="1" x14ac:dyDescent="0.2"/>
  </sheetData>
  <sheetProtection algorithmName="SHA-512" hashValue="gji0+F0JPqDy+sNtjBFccVBfZqN+TQ13o3bb+Gl3GKOLcPsgdLM1FhEBKjfQnhhR5cFlwu0w0AcHAnVDQF8jjQ==" saltValue="ZbnqAzubMniPzK1WjE1S/A==" spinCount="100000" sheet="1" selectLockedCells="1"/>
  <mergeCells count="9">
    <mergeCell ref="K55:O55"/>
    <mergeCell ref="C1:E1"/>
    <mergeCell ref="E45:H45"/>
    <mergeCell ref="I57:I61"/>
    <mergeCell ref="E54:F54"/>
    <mergeCell ref="E46:F46"/>
    <mergeCell ref="G54:H54"/>
    <mergeCell ref="E53:F53"/>
    <mergeCell ref="E52:F52"/>
  </mergeCells>
  <dataValidations count="13"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15" xr:uid="{00000000-0002-0000-0100-000000000000}">
      <formula1>"1. Limited Company,2. Private Limited,3. LLP,4. Sole Proprietorship,5. Father &amp; Sons Partnership,6. Partnership"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16" xr:uid="{00000000-0002-0000-0100-000001000000}">
      <formula1>"1. Less than 40 Yrs,2. 40 - 50 Yrs,3. Greater than 50 Yrs"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17" xr:uid="{00000000-0002-0000-0100-000002000000}">
      <formula1>"1. Less than 5 years,2. 5 to 10 years,3. Greater than 10 years"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18" xr:uid="{00000000-0002-0000-0100-000003000000}">
      <formula1>"1. Total Logistic Service,2. Diversified Business,3. Only FTL,4. FTL / LTL"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19" xr:uid="{00000000-0002-0000-0100-000004000000}">
      <formula1>"Both PSU's &amp; MNC/Pvt Co,Only MNC's/Pvt Co,Only PSU's"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20" xr:uid="{00000000-0002-0000-0100-000005000000}">
      <formula1>"&lt; 50 Cr,&gt; 100  Cr.,50 - 70 Cr."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21" xr:uid="{00000000-0002-0000-0100-000006000000}">
      <formula1>"&lt; 30 Cr,&gt; 50 Cr,30 - 50 Cr"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22" xr:uid="{00000000-0002-0000-0100-000007000000}">
      <formula1>"Local,National,Regional"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23" xr:uid="{00000000-0002-0000-0100-000008000000}">
      <formula1>"&lt; 20,&gt;50,20 - 49"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24" xr:uid="{00000000-0002-0000-0100-000009000000}">
      <formula1>"&lt; 100,&gt; 300,100 - 299"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25" xr:uid="{00000000-0002-0000-0100-00000A000000}">
      <formula1>"Management &amp; inter office connectivity,Use Financial Software,No Financial Software"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26 E28:E30" xr:uid="{00000000-0002-0000-0100-00000B000000}">
      <formula1>"Yes,No"</formula1>
    </dataValidation>
    <dataValidation type="list" errorStyle="warning" allowBlank="1" showInputMessage="1" showErrorMessage="1" errorTitle="Select from list" error="Best: pick from dropdown. You can still type a custom value (Yes / Continue)." promptTitle="Choose option" prompt="Select from dropdown, or type your own value" sqref="E27" xr:uid="{00000000-0002-0000-0100-00000C000000}">
      <formula1>"Auto alerts for Exception &amp; System generated MIS,Manual MIS &amp; Tracking,No MIS,System generated MIS"</formula1>
    </dataValidation>
  </dataValidations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9"/>
  <sheetViews>
    <sheetView zoomScale="130" zoomScaleNormal="130" workbookViewId="0">
      <selection activeCell="A4" sqref="A4"/>
    </sheetView>
  </sheetViews>
  <sheetFormatPr defaultColWidth="9.109375" defaultRowHeight="10.199999999999999" x14ac:dyDescent="0.2"/>
  <cols>
    <col min="1" max="1" width="23.44140625" style="1" bestFit="1" customWidth="1"/>
    <col min="2" max="5" width="9.109375" style="1" customWidth="1"/>
    <col min="6" max="6" width="16.88671875" style="1" customWidth="1"/>
    <col min="7" max="10" width="9.109375" style="1" customWidth="1"/>
    <col min="11" max="11" width="12" style="1" bestFit="1" customWidth="1"/>
    <col min="12" max="15" width="9.109375" style="1" customWidth="1"/>
    <col min="16" max="16" width="16.88671875" style="1" customWidth="1"/>
    <col min="17" max="20" width="9.109375" style="1" customWidth="1"/>
    <col min="21" max="21" width="15.33203125" style="1" customWidth="1"/>
    <col min="22" max="22" width="9.109375" style="1" customWidth="1"/>
    <col min="23" max="16384" width="9.109375" style="1"/>
  </cols>
  <sheetData>
    <row r="1" spans="1:23" s="2" customFormat="1" ht="28.5" customHeight="1" x14ac:dyDescent="0.2">
      <c r="A1" s="2" t="s">
        <v>127</v>
      </c>
      <c r="B1" s="2" t="s">
        <v>37</v>
      </c>
      <c r="C1" s="2" t="s">
        <v>128</v>
      </c>
      <c r="F1" s="2" t="s">
        <v>129</v>
      </c>
      <c r="G1" s="2" t="s">
        <v>37</v>
      </c>
      <c r="H1" s="2" t="s">
        <v>128</v>
      </c>
      <c r="K1" s="2" t="s">
        <v>130</v>
      </c>
      <c r="L1" s="2" t="s">
        <v>37</v>
      </c>
      <c r="M1" s="2" t="s">
        <v>128</v>
      </c>
      <c r="P1" s="2" t="s">
        <v>131</v>
      </c>
      <c r="Q1" s="2" t="s">
        <v>37</v>
      </c>
      <c r="R1" s="2" t="s">
        <v>128</v>
      </c>
      <c r="U1" s="2" t="s">
        <v>132</v>
      </c>
      <c r="V1" s="2" t="s">
        <v>37</v>
      </c>
      <c r="W1" s="2" t="s">
        <v>128</v>
      </c>
    </row>
    <row r="2" spans="1:23" x14ac:dyDescent="0.2">
      <c r="A2" s="1" t="s">
        <v>133</v>
      </c>
      <c r="B2" s="1" t="s">
        <v>134</v>
      </c>
      <c r="C2" s="1">
        <v>3</v>
      </c>
      <c r="F2" s="1" t="s">
        <v>61</v>
      </c>
      <c r="G2" s="1" t="s">
        <v>135</v>
      </c>
      <c r="H2" s="1">
        <v>1</v>
      </c>
      <c r="K2" s="1" t="s">
        <v>136</v>
      </c>
      <c r="L2" s="1" t="s">
        <v>135</v>
      </c>
      <c r="M2" s="1">
        <v>3</v>
      </c>
      <c r="P2" s="1" t="s">
        <v>78</v>
      </c>
      <c r="Q2" s="1" t="s">
        <v>134</v>
      </c>
      <c r="R2" s="1">
        <v>3</v>
      </c>
      <c r="U2" s="1" t="s">
        <v>137</v>
      </c>
      <c r="V2" s="1" t="s">
        <v>134</v>
      </c>
      <c r="W2" s="1">
        <v>3</v>
      </c>
    </row>
    <row r="3" spans="1:23" x14ac:dyDescent="0.2">
      <c r="A3" s="26" t="s">
        <v>138</v>
      </c>
      <c r="B3" s="26" t="s">
        <v>134</v>
      </c>
      <c r="C3" s="26">
        <v>3</v>
      </c>
      <c r="F3" s="1" t="s">
        <v>139</v>
      </c>
      <c r="G3" s="1" t="s">
        <v>134</v>
      </c>
      <c r="H3" s="1">
        <v>3</v>
      </c>
      <c r="K3" s="1" t="s">
        <v>68</v>
      </c>
      <c r="L3" s="1" t="s">
        <v>134</v>
      </c>
      <c r="M3" s="1">
        <v>3</v>
      </c>
      <c r="P3" s="1" t="s">
        <v>140</v>
      </c>
      <c r="Q3" s="1" t="s">
        <v>141</v>
      </c>
      <c r="R3" s="1">
        <v>2</v>
      </c>
      <c r="U3" s="1" t="s">
        <v>57</v>
      </c>
      <c r="V3" s="1" t="s">
        <v>141</v>
      </c>
      <c r="W3" s="1">
        <v>2</v>
      </c>
    </row>
    <row r="4" spans="1:23" x14ac:dyDescent="0.2">
      <c r="A4" s="1" t="s">
        <v>142</v>
      </c>
      <c r="B4" s="1" t="s">
        <v>134</v>
      </c>
      <c r="C4" s="1">
        <v>3</v>
      </c>
      <c r="F4" s="1" t="s">
        <v>143</v>
      </c>
      <c r="G4" s="1" t="s">
        <v>141</v>
      </c>
      <c r="H4" s="1">
        <v>2</v>
      </c>
      <c r="K4" s="1" t="s">
        <v>144</v>
      </c>
      <c r="L4" s="1" t="s">
        <v>141</v>
      </c>
      <c r="M4" s="1">
        <v>3</v>
      </c>
      <c r="P4" s="1" t="s">
        <v>145</v>
      </c>
      <c r="Q4" s="1" t="s">
        <v>135</v>
      </c>
      <c r="R4" s="1">
        <v>1</v>
      </c>
      <c r="U4" s="1" t="s">
        <v>146</v>
      </c>
      <c r="V4" s="1" t="s">
        <v>135</v>
      </c>
      <c r="W4" s="1">
        <v>1</v>
      </c>
    </row>
    <row r="5" spans="1:23" x14ac:dyDescent="0.2">
      <c r="A5" s="1" t="s">
        <v>44</v>
      </c>
      <c r="B5" s="1" t="s">
        <v>134</v>
      </c>
      <c r="C5" s="1">
        <v>3</v>
      </c>
    </row>
    <row r="6" spans="1:23" x14ac:dyDescent="0.2">
      <c r="A6" s="1" t="s">
        <v>147</v>
      </c>
      <c r="B6" s="1" t="s">
        <v>141</v>
      </c>
      <c r="C6" s="1">
        <v>2</v>
      </c>
    </row>
    <row r="7" spans="1:23" x14ac:dyDescent="0.2">
      <c r="A7" s="1" t="s">
        <v>148</v>
      </c>
      <c r="B7" s="1" t="s">
        <v>135</v>
      </c>
      <c r="C7" s="1">
        <v>1</v>
      </c>
    </row>
    <row r="10" spans="1:23" x14ac:dyDescent="0.2">
      <c r="F10" s="2" t="s">
        <v>149</v>
      </c>
      <c r="G10" s="2" t="s">
        <v>37</v>
      </c>
      <c r="H10" s="2" t="s">
        <v>128</v>
      </c>
      <c r="K10" s="2" t="s">
        <v>150</v>
      </c>
      <c r="L10" s="2" t="s">
        <v>37</v>
      </c>
      <c r="M10" s="2" t="s">
        <v>128</v>
      </c>
      <c r="P10" s="2" t="s">
        <v>151</v>
      </c>
      <c r="Q10" s="2" t="s">
        <v>37</v>
      </c>
      <c r="R10" s="2" t="s">
        <v>128</v>
      </c>
      <c r="U10" s="2" t="s">
        <v>152</v>
      </c>
      <c r="V10" s="2" t="s">
        <v>37</v>
      </c>
      <c r="W10" s="2" t="s">
        <v>128</v>
      </c>
    </row>
    <row r="11" spans="1:23" x14ac:dyDescent="0.2">
      <c r="A11" s="2" t="s">
        <v>153</v>
      </c>
      <c r="B11" s="2" t="s">
        <v>37</v>
      </c>
      <c r="C11" s="2" t="s">
        <v>128</v>
      </c>
      <c r="F11" s="1" t="s">
        <v>64</v>
      </c>
      <c r="G11" s="1" t="s">
        <v>135</v>
      </c>
      <c r="H11" s="1">
        <v>1</v>
      </c>
      <c r="K11" s="1" t="s">
        <v>71</v>
      </c>
      <c r="L11" s="1" t="s">
        <v>135</v>
      </c>
      <c r="M11" s="1">
        <v>1</v>
      </c>
      <c r="P11" s="1" t="s">
        <v>81</v>
      </c>
      <c r="Q11" s="1" t="s">
        <v>134</v>
      </c>
      <c r="R11" s="1">
        <v>3</v>
      </c>
      <c r="U11" s="1" t="s">
        <v>154</v>
      </c>
      <c r="V11" s="1" t="s">
        <v>155</v>
      </c>
      <c r="W11" s="1">
        <v>0</v>
      </c>
    </row>
    <row r="12" spans="1:23" x14ac:dyDescent="0.2">
      <c r="A12" s="1" t="s">
        <v>156</v>
      </c>
      <c r="B12" s="1" t="s">
        <v>134</v>
      </c>
      <c r="C12" s="1">
        <v>3</v>
      </c>
      <c r="F12" s="1" t="s">
        <v>157</v>
      </c>
      <c r="G12" s="1" t="s">
        <v>134</v>
      </c>
      <c r="H12" s="1">
        <v>3</v>
      </c>
      <c r="K12" s="1" t="s">
        <v>158</v>
      </c>
      <c r="L12" s="1" t="s">
        <v>134</v>
      </c>
      <c r="M12" s="1">
        <v>3</v>
      </c>
      <c r="P12" s="1" t="s">
        <v>154</v>
      </c>
      <c r="Q12" s="1" t="s">
        <v>155</v>
      </c>
      <c r="R12" s="1">
        <v>0</v>
      </c>
      <c r="U12" s="1" t="s">
        <v>81</v>
      </c>
      <c r="V12" s="1" t="s">
        <v>134</v>
      </c>
      <c r="W12" s="1">
        <v>3</v>
      </c>
    </row>
    <row r="13" spans="1:23" x14ac:dyDescent="0.2">
      <c r="A13" s="1" t="s">
        <v>48</v>
      </c>
      <c r="B13" s="1" t="s">
        <v>141</v>
      </c>
      <c r="C13" s="1">
        <v>2</v>
      </c>
      <c r="F13" s="1" t="s">
        <v>159</v>
      </c>
      <c r="G13" s="1" t="s">
        <v>141</v>
      </c>
      <c r="H13" s="1">
        <v>2</v>
      </c>
      <c r="K13" s="1" t="s">
        <v>160</v>
      </c>
      <c r="L13" s="1" t="s">
        <v>141</v>
      </c>
      <c r="M13" s="1">
        <v>2</v>
      </c>
    </row>
    <row r="14" spans="1:23" x14ac:dyDescent="0.2">
      <c r="A14" s="1" t="s">
        <v>161</v>
      </c>
      <c r="B14" s="1" t="s">
        <v>135</v>
      </c>
      <c r="C14" s="1">
        <v>1</v>
      </c>
    </row>
    <row r="17" spans="1:23" x14ac:dyDescent="0.2">
      <c r="K17" s="2" t="s">
        <v>162</v>
      </c>
      <c r="L17" s="2" t="s">
        <v>37</v>
      </c>
      <c r="M17" s="2" t="s">
        <v>128</v>
      </c>
      <c r="P17" s="2" t="s">
        <v>83</v>
      </c>
      <c r="Q17" s="2" t="s">
        <v>37</v>
      </c>
      <c r="R17" s="2" t="s">
        <v>128</v>
      </c>
      <c r="U17" s="2" t="s">
        <v>163</v>
      </c>
      <c r="V17" s="2" t="s">
        <v>37</v>
      </c>
      <c r="W17" s="2" t="s">
        <v>128</v>
      </c>
    </row>
    <row r="18" spans="1:23" x14ac:dyDescent="0.2">
      <c r="A18" s="2" t="s">
        <v>164</v>
      </c>
      <c r="B18" s="2" t="s">
        <v>37</v>
      </c>
      <c r="C18" s="2" t="s">
        <v>128</v>
      </c>
      <c r="K18" s="1" t="s">
        <v>74</v>
      </c>
      <c r="L18" s="1" t="s">
        <v>135</v>
      </c>
      <c r="M18" s="1">
        <v>1</v>
      </c>
      <c r="P18" s="1" t="s">
        <v>165</v>
      </c>
      <c r="Q18" s="1" t="s">
        <v>134</v>
      </c>
      <c r="R18" s="1">
        <v>3</v>
      </c>
      <c r="U18" s="1" t="s">
        <v>154</v>
      </c>
      <c r="V18" s="1" t="s">
        <v>155</v>
      </c>
      <c r="W18" s="1">
        <v>0</v>
      </c>
    </row>
    <row r="19" spans="1:23" x14ac:dyDescent="0.2">
      <c r="A19" s="1" t="s">
        <v>166</v>
      </c>
      <c r="B19" s="1" t="s">
        <v>135</v>
      </c>
      <c r="C19" s="1">
        <v>1</v>
      </c>
      <c r="K19" s="1" t="s">
        <v>167</v>
      </c>
      <c r="L19" s="1" t="s">
        <v>134</v>
      </c>
      <c r="M19" s="1">
        <v>3</v>
      </c>
      <c r="P19" s="1" t="s">
        <v>168</v>
      </c>
      <c r="Q19" s="1" t="s">
        <v>135</v>
      </c>
      <c r="R19" s="1">
        <v>1</v>
      </c>
      <c r="U19" s="1" t="s">
        <v>81</v>
      </c>
      <c r="V19" s="1" t="s">
        <v>134</v>
      </c>
      <c r="W19" s="1">
        <v>3</v>
      </c>
    </row>
    <row r="20" spans="1:23" x14ac:dyDescent="0.2">
      <c r="A20" s="1" t="s">
        <v>169</v>
      </c>
      <c r="B20" s="1" t="s">
        <v>141</v>
      </c>
      <c r="C20" s="1">
        <v>2</v>
      </c>
      <c r="K20" s="1" t="s">
        <v>170</v>
      </c>
      <c r="L20" s="1" t="s">
        <v>141</v>
      </c>
      <c r="M20" s="1">
        <v>2</v>
      </c>
      <c r="P20" s="1" t="s">
        <v>171</v>
      </c>
      <c r="Q20" s="1" t="s">
        <v>155</v>
      </c>
      <c r="R20" s="1">
        <v>0</v>
      </c>
    </row>
    <row r="21" spans="1:23" x14ac:dyDescent="0.2">
      <c r="A21" s="1" t="s">
        <v>51</v>
      </c>
      <c r="B21" s="1" t="s">
        <v>134</v>
      </c>
      <c r="C21" s="1">
        <v>3</v>
      </c>
      <c r="P21" s="1" t="s">
        <v>84</v>
      </c>
      <c r="Q21" s="1" t="s">
        <v>141</v>
      </c>
      <c r="R21" s="1">
        <v>2</v>
      </c>
    </row>
    <row r="25" spans="1:23" x14ac:dyDescent="0.2">
      <c r="A25" s="2" t="s">
        <v>172</v>
      </c>
      <c r="B25" s="2" t="s">
        <v>37</v>
      </c>
      <c r="C25" s="2" t="s">
        <v>128</v>
      </c>
      <c r="U25" s="2" t="s">
        <v>173</v>
      </c>
      <c r="V25" s="2" t="s">
        <v>37</v>
      </c>
      <c r="W25" s="2" t="s">
        <v>128</v>
      </c>
    </row>
    <row r="26" spans="1:23" x14ac:dyDescent="0.2">
      <c r="A26" s="1" t="s">
        <v>54</v>
      </c>
      <c r="B26" s="1" t="s">
        <v>134</v>
      </c>
      <c r="C26" s="1">
        <v>3</v>
      </c>
      <c r="U26" s="1" t="s">
        <v>154</v>
      </c>
      <c r="V26" s="1" t="s">
        <v>155</v>
      </c>
      <c r="W26" s="1">
        <v>0</v>
      </c>
    </row>
    <row r="27" spans="1:23" x14ac:dyDescent="0.2">
      <c r="A27" s="1" t="s">
        <v>174</v>
      </c>
      <c r="B27" s="1" t="s">
        <v>141</v>
      </c>
      <c r="C27" s="1">
        <v>2</v>
      </c>
      <c r="U27" s="1" t="s">
        <v>81</v>
      </c>
      <c r="V27" s="1" t="s">
        <v>134</v>
      </c>
      <c r="W27" s="1">
        <v>3</v>
      </c>
    </row>
    <row r="28" spans="1:23" x14ac:dyDescent="0.2">
      <c r="A28" s="1" t="s">
        <v>175</v>
      </c>
      <c r="B28" s="1" t="s">
        <v>141</v>
      </c>
      <c r="C28" s="1">
        <v>2</v>
      </c>
    </row>
    <row r="29" spans="1:23" x14ac:dyDescent="0.2">
      <c r="A29" s="1" t="s">
        <v>176</v>
      </c>
      <c r="B29" s="1" t="s">
        <v>135</v>
      </c>
      <c r="C29" s="1">
        <v>1</v>
      </c>
    </row>
  </sheetData>
  <pageMargins left="0.7" right="0.7" top="0.75" bottom="0.75" header="0.3" footer="0.3"/>
  <pageSetup paperSize="9" orientation="portrait"/>
  <tableParts count="16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Requirements</vt:lpstr>
      <vt:lpstr>GUI</vt:lpstr>
      <vt:lpstr>Options Weight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RELIANCE LTD.</dc:creator>
  <cp:lastModifiedBy>jitendra jangir</cp:lastModifiedBy>
  <cp:lastPrinted>2001-03-21T12:46:52Z</cp:lastPrinted>
  <dcterms:created xsi:type="dcterms:W3CDTF">2001-03-21T06:42:51Z</dcterms:created>
  <dcterms:modified xsi:type="dcterms:W3CDTF">2026-09-03T06:52:04Z</dcterms:modified>
</cp:coreProperties>
</file>