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+9a2Xa5CczQe1XyXtPaE/2FvDD1dLsl8kyWNzQjxpwhQTXtOK/eee/4qa1PkwWizficRxP032w0xani3uES5Bg==" workbookSaltValue="GcJF4cTpP8W2MVcBVLNJxQ==" workbookSpinCount="100000"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Requirements" sheetId="1" state="hidden" r:id="rId1"/>
    <sheet xmlns:r="http://schemas.openxmlformats.org/officeDocument/2006/relationships" name="GUI" sheetId="2" state="visible" r:id="rId2"/>
    <sheet xmlns:r="http://schemas.openxmlformats.org/officeDocument/2006/relationships" name="Options Weight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CBD5E1"/>
      <sz val="8"/>
    </font>
    <font>
      <name val="Calibri"/>
      <b val="1"/>
      <color rgb="00000000"/>
      <sz val="11"/>
    </font>
    <font>
      <name val="Calibri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top style="thin">
        <color rgb="00000000"/>
      </top>
    </border>
  </borders>
  <cellStyleXfs count="2">
    <xf numFmtId="0" fontId="0" fillId="0" borderId="0"/>
    <xf numFmtId="9" fontId="2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4" fillId="2" borderId="3" pivotButton="0" quotePrefix="0" xfId="0"/>
    <xf numFmtId="0" fontId="1" fillId="2" borderId="3" pivotButton="0" quotePrefix="0" xfId="0"/>
    <xf numFmtId="0" fontId="1" fillId="0" borderId="3" pivotButton="0" quotePrefix="0" xfId="0"/>
    <xf numFmtId="0" fontId="3" fillId="3" borderId="3" pivotButton="0" quotePrefix="0" xfId="0"/>
    <xf numFmtId="0" fontId="3" fillId="3" borderId="3" applyAlignment="1" pivotButton="0" quotePrefix="0" xfId="0">
      <alignment wrapText="1"/>
    </xf>
    <xf numFmtId="0" fontId="1" fillId="4" borderId="3" pivotButton="0" quotePrefix="0" xfId="0"/>
    <xf numFmtId="0" fontId="1" fillId="5" borderId="3" pivotButton="0" quotePrefix="0" xfId="0"/>
    <xf numFmtId="0" fontId="3" fillId="6" borderId="3" applyAlignment="1" pivotButton="0" quotePrefix="0" xfId="0">
      <alignment wrapText="1"/>
    </xf>
    <xf numFmtId="0" fontId="3" fillId="6" borderId="3" pivotButton="0" quotePrefix="0" xfId="0"/>
    <xf numFmtId="0" fontId="4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1" fillId="7" borderId="3" pivotButton="0" quotePrefix="0" xfId="0"/>
    <xf numFmtId="9" fontId="3" fillId="2" borderId="3" applyAlignment="1" pivotButton="0" quotePrefix="0" xfId="1">
      <alignment horizontal="center"/>
    </xf>
    <xf numFmtId="0" fontId="1" fillId="8" borderId="3" pivotButton="0" quotePrefix="0" xfId="0"/>
    <xf numFmtId="0" fontId="1" fillId="9" borderId="3" pivotButton="0" quotePrefix="0" xfId="0"/>
    <xf numFmtId="0" fontId="3" fillId="10" borderId="3" applyAlignment="1" pivotButton="0" quotePrefix="0" xfId="0">
      <alignment wrapText="1"/>
    </xf>
    <xf numFmtId="0" fontId="3" fillId="10" borderId="3" applyAlignment="1" pivotButton="0" quotePrefix="0" xfId="0">
      <alignment horizontal="center"/>
    </xf>
    <xf numFmtId="9" fontId="1" fillId="11" borderId="3" applyAlignment="1" pivotButton="0" quotePrefix="0" xfId="0">
      <alignment horizontal="center"/>
    </xf>
    <xf numFmtId="0" fontId="1" fillId="11" borderId="3" applyAlignment="1" pivotButton="0" quotePrefix="0" xfId="0">
      <alignment horizontal="center"/>
    </xf>
    <xf numFmtId="0" fontId="1" fillId="7" borderId="3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9" borderId="3" applyProtection="1" pivotButton="0" quotePrefix="0" xfId="0">
      <protection locked="0" hidden="0"/>
    </xf>
    <xf numFmtId="0" fontId="5" fillId="0" borderId="0" pivotButton="0" quotePrefix="0" xfId="0"/>
    <xf numFmtId="0" fontId="6" fillId="7" borderId="3" applyProtection="1" pivotButton="0" quotePrefix="0" xfId="0">
      <protection locked="0" hidden="0"/>
    </xf>
    <xf numFmtId="0" fontId="3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/>
    </xf>
    <xf numFmtId="0" fontId="3" fillId="11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11" borderId="3" applyAlignment="1" pivotButton="0" quotePrefix="0" xfId="0">
      <alignment horizontal="center"/>
    </xf>
    <xf numFmtId="0" fontId="0" fillId="0" borderId="9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2">
    <cellStyle name="Normal" xfId="0" builtinId="0"/>
    <cellStyle name="Percent" xfId="1" builtinId="5"/>
  </cellStyles>
  <dxfs count="80"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64</row>
      <rowOff>0</rowOff>
    </from>
    <ext cx="2667000" cy="1485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1_Company" displayName="A1_Company" ref="A1:C7" headerRowCount="1" totalsRowShown="0" headerRowDxfId="79" dataDxfId="78">
  <autoFilter ref="A1:C7"/>
  <sortState ref="A2:C7">
    <sortCondition ref="A1:A7"/>
  </sortState>
  <tableColumns count="3">
    <tableColumn id="1" name="Company" dataDxfId="77"/>
    <tableColumn id="2" name="Rating" dataDxfId="76"/>
    <tableColumn id="3" name="Weight" dataDxfId="7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A2_Director_Age" displayName="A2_Director_Age" ref="A11:C14" headerRowCount="1" totalsRowShown="0" headerRowDxfId="74" dataDxfId="73">
  <autoFilter ref="A11:C14"/>
  <sortState ref="A12:C14">
    <sortCondition ref="A11:A14"/>
  </sortState>
  <tableColumns count="3">
    <tableColumn id="1" name="Director Age" dataDxfId="72"/>
    <tableColumn id="2" name="Rating" dataDxfId="71"/>
    <tableColumn id="3" name="Weight" dataDxfId="7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A3_Experience" displayName="A3_Experience" ref="A18:C21" headerRowCount="1" totalsRowShown="0" headerRowDxfId="69" dataDxfId="68">
  <autoFilter ref="A18:C21"/>
  <sortState ref="A19:C21">
    <sortCondition ref="A18:A21"/>
  </sortState>
  <tableColumns count="3">
    <tableColumn id="1" name="Experience" dataDxfId="67"/>
    <tableColumn id="2" name="Rating" dataDxfId="66"/>
    <tableColumn id="3" name="Weight" dataDxfId="6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A4_Portfolio" displayName="A4_Portfolio" ref="A25:C29" headerRowCount="1" totalsRowShown="0" headerRowDxfId="64" dataDxfId="63">
  <autoFilter ref="A25:C29"/>
  <sortState ref="A26:C29">
    <sortCondition ref="A25:A29"/>
  </sortState>
  <tableColumns count="3">
    <tableColumn id="1" name="Portfolio" dataDxfId="62"/>
    <tableColumn id="2" name="Rating" dataDxfId="61"/>
    <tableColumn id="3" name="Weight" dataDxfId="6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B1_BTurnover" displayName="B1_BTurnover" ref="F1:H4" headerRowCount="1" totalsRowShown="0" headerRowDxfId="59" dataDxfId="58">
  <autoFilter ref="F1:H4"/>
  <sortState ref="F2:H4">
    <sortCondition ref="F1:F4"/>
  </sortState>
  <tableColumns count="3">
    <tableColumn id="1" name="Business Turnover" dataDxfId="57"/>
    <tableColumn id="2" name="Rating" dataDxfId="56"/>
    <tableColumn id="3" name="Weight" dataDxfId="5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B2_TTurnover" displayName="B2_TTurnover" ref="F10:H13" headerRowCount="1" totalsRowShown="0" headerRowDxfId="54" dataDxfId="53">
  <autoFilter ref="F10:H13"/>
  <sortState ref="F11:H13">
    <sortCondition ref="F10:F13"/>
  </sortState>
  <tableColumns count="3">
    <tableColumn id="1" name="Transport Turnover" dataDxfId="52"/>
    <tableColumn id="2" name="Rating" dataDxfId="51"/>
    <tableColumn id="3" name="Weight" dataDxfId="50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C_Coverage" displayName="C_Coverage" ref="K1:M4" headerRowCount="1" totalsRowShown="0" headerRowDxfId="49" dataDxfId="48">
  <autoFilter ref="K1:M4"/>
  <sortState ref="K2:M4">
    <sortCondition ref="K1:K4"/>
  </sortState>
  <tableColumns count="3">
    <tableColumn id="1" name="Coverage" dataDxfId="47"/>
    <tableColumn id="2" name="Rating" dataDxfId="46"/>
    <tableColumn id="3" name="Weight" dataDxfId="45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C_Owned_Trucks" displayName="C_Owned_Trucks" ref="K10:M13" headerRowCount="1" totalsRowShown="0" headerRowDxfId="44" dataDxfId="43">
  <autoFilter ref="K10:M13"/>
  <sortState ref="K11:M13">
    <sortCondition ref="K10:K13"/>
  </sortState>
  <tableColumns count="3">
    <tableColumn id="1" name="Owned Trucks" dataDxfId="42"/>
    <tableColumn id="2" name="Rating" dataDxfId="41"/>
    <tableColumn id="3" name="Weight" dataDxfId="4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C_Attached_Trucks" displayName="C_Attached_Trucks" ref="K17:M20" headerRowCount="1" totalsRowShown="0" headerRowDxfId="39" dataDxfId="38">
  <autoFilter ref="K17:M20"/>
  <sortState ref="K18:M20">
    <sortCondition ref="K17:K20"/>
  </sortState>
  <tableColumns count="3">
    <tableColumn id="1" name="Attached Trucks" dataDxfId="37"/>
    <tableColumn id="2" name="Rating" dataDxfId="36"/>
    <tableColumn id="3" name="Weight" dataDxfId="35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0" name="D1_Software" displayName="D1_Software" ref="P1:R4" headerRowCount="1" totalsRowShown="0" headerRowDxfId="34" dataDxfId="33">
  <autoFilter ref="P1:R4"/>
  <tableColumns count="3">
    <tableColumn id="1" name="Software" dataDxfId="32"/>
    <tableColumn id="2" name="Rating" dataDxfId="31"/>
    <tableColumn id="3" name="Weight" dataDxfId="30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1" name="D2_GPS" displayName="D2_GPS" ref="P10:R12" headerRowCount="1" totalsRowShown="0" headerRowDxfId="29" dataDxfId="28">
  <autoFilter ref="P10:R12"/>
  <tableColumns count="3">
    <tableColumn id="1" name="GPS" dataDxfId="27"/>
    <tableColumn id="2" name="Rating" dataDxfId="26"/>
    <tableColumn id="3" name="Weight" dataDxfId="25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2" name="D3_MIS" displayName="D3_MIS" ref="P17:R21" headerRowCount="1" totalsRowShown="0" headerRowDxfId="24" dataDxfId="23">
  <autoFilter ref="P17:R21"/>
  <sortState ref="P18:R21">
    <sortCondition ref="P17:P21"/>
  </sortState>
  <tableColumns count="3">
    <tableColumn id="1" name="MIS" dataDxfId="22"/>
    <tableColumn id="2" name="Rating" dataDxfId="21"/>
    <tableColumn id="3" name="Weight" dataDxfId="20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3" name="E1_Customers" displayName="E1_Customers" ref="U1:W4" headerRowCount="1" totalsRowShown="0" headerRowDxfId="19" dataDxfId="18">
  <autoFilter ref="U1:W4"/>
  <sortState ref="U2:W4">
    <sortCondition ref="U1:U4"/>
  </sortState>
  <tableColumns count="3">
    <tableColumn id="1" name="Customers" dataDxfId="17"/>
    <tableColumn id="2" name="Rating" dataDxfId="16"/>
    <tableColumn id="3" name="Weight" dataDxfId="15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14" name="E2_DTraining" displayName="E2_DTraining" ref="U10:W12" headerRowCount="1" totalsRowShown="0" headerRowDxfId="14" dataDxfId="13">
  <autoFilter ref="U10:W12"/>
  <sortState ref="U11:W12">
    <sortCondition ref="U10:U12"/>
  </sortState>
  <tableColumns count="3">
    <tableColumn id="1" name="Driver Training" dataDxfId="12"/>
    <tableColumn id="2" name="Rating" dataDxfId="11"/>
    <tableColumn id="3" name="Weight" dataDxfId="10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15" name="E3_DInsurance" displayName="E3_DInsurance" ref="U17:W19" headerRowCount="1" totalsRowShown="0" headerRowDxfId="9" dataDxfId="8">
  <autoFilter ref="U17:W19"/>
  <sortState ref="U18:W19">
    <sortCondition ref="U17:U19"/>
  </sortState>
  <tableColumns count="3">
    <tableColumn id="1" name="Driver Insurance" dataDxfId="7"/>
    <tableColumn id="2" name="Rating" dataDxfId="6"/>
    <tableColumn id="3" name="Weight" dataDxfId="5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id="16" name="E4_DWelfare" displayName="E4_DWelfare" ref="U25:W27" headerRowCount="1" totalsRowShown="0" headerRowDxfId="4" dataDxfId="3">
  <autoFilter ref="U25:W27"/>
  <sortState ref="U26:W27">
    <sortCondition ref="U25:U27"/>
  </sortState>
  <tableColumns count="3">
    <tableColumn id="1" name="Driver Welfare" dataDxfId="2"/>
    <tableColumn id="2" name="Rating" dataDxfId="1"/>
    <tableColumn id="3" name="Weigh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C4" sqref="C4"/>
    </sheetView>
  </sheetViews>
  <sheetFormatPr baseColWidth="8" defaultRowHeight="13.2"/>
  <cols>
    <col width="3.6640625" customWidth="1" min="1" max="1"/>
  </cols>
  <sheetData>
    <row r="1">
      <c r="A1" t="inlineStr">
        <is>
          <t>Requirements for BA Selection Criteria</t>
        </is>
      </c>
    </row>
    <row r="2">
      <c r="A2" t="n">
        <v>1</v>
      </c>
      <c r="B2" t="inlineStr">
        <is>
          <t>Create BA Selection criteria Form as a subsection of BA Database</t>
        </is>
      </c>
    </row>
    <row r="3">
      <c r="A3" t="n">
        <v>1.1</v>
      </c>
      <c r="B3" t="inlineStr">
        <is>
          <t>While adding a new BA/editing existing BA in the BA Database, this form is to be filled. Responsibility of filling the form lies with Procurement Manager</t>
        </is>
      </c>
    </row>
    <row r="4">
      <c r="A4" t="n">
        <v>1.2</v>
      </c>
      <c r="B4" t="inlineStr">
        <is>
          <t>On selecting predefined dropdown(radio button) on form page, system should be able to output actual &amp; highest score on score page &amp; then Summarized BA Scorecard on Result Page</t>
        </is>
      </c>
    </row>
    <row r="5">
      <c r="A5" t="n">
        <v>1.3</v>
      </c>
      <c r="B5" t="inlineStr">
        <is>
          <t>Questionnare &amp; associated weightage should be editable at the backend .Privilage- administrator on requirement of VP -Transportation</t>
        </is>
      </c>
    </row>
    <row r="6">
      <c r="A6" t="n">
        <v>1.4</v>
      </c>
      <c r="B6" t="inlineStr">
        <is>
          <t>Star Rating table should be editable at the backend. Privilage- administrator on requirement of VP -Transportation</t>
        </is>
      </c>
    </row>
    <row r="8">
      <c r="A8" t="n">
        <v>2</v>
      </c>
      <c r="B8" t="inlineStr">
        <is>
          <t>Queries &amp; Reports</t>
        </is>
      </c>
    </row>
    <row r="9">
      <c r="A9" t="n">
        <v>2.1</v>
      </c>
      <c r="B9" t="inlineStr">
        <is>
          <t>Selection Criteria conducted - Completion Status</t>
        </is>
      </c>
    </row>
    <row r="10">
      <c r="A10" t="n">
        <v>2.2</v>
      </c>
      <c r="B10" t="inlineStr">
        <is>
          <t>BA Buckets - Rating wise (1,2,3,4,5)</t>
        </is>
      </c>
    </row>
    <row r="11">
      <c r="A11" t="n">
        <v>2.3</v>
      </c>
      <c r="B11" t="inlineStr">
        <is>
          <t>BA Buckets - Requirement wise(MH &amp; GTH) &amp; Section wise %Score (A to E)</t>
        </is>
      </c>
    </row>
    <row r="12">
      <c r="A12" t="n">
        <v>2.4</v>
      </c>
      <c r="B12" t="inlineStr">
        <is>
          <t>Score report - Download adhoc report with all fields mentioned in GUI file to analyse , identify &amp; categorize BA capabilities</t>
        </is>
      </c>
    </row>
    <row r="14">
      <c r="A14" t="n">
        <v>3</v>
      </c>
      <c r="B14" t="inlineStr">
        <is>
          <t>Interaction with other databases</t>
        </is>
      </c>
    </row>
    <row r="15">
      <c r="A15" t="n">
        <v>3.1</v>
      </c>
      <c r="B15" t="inlineStr">
        <is>
          <t>BA Rating should be visible in RFQ tool to help enable shortlisting &amp; selection of BA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O66"/>
  <sheetViews>
    <sheetView tabSelected="1" topLeftCell="C7" zoomScaleNormal="100" workbookViewId="0">
      <selection activeCell="E15" sqref="E15"/>
    </sheetView>
  </sheetViews>
  <sheetFormatPr baseColWidth="8" defaultColWidth="9.109375" defaultRowHeight="10.2"/>
  <cols>
    <col hidden="1" width="13" customWidth="1" style="1" min="1" max="2"/>
    <col width="6" bestFit="1" customWidth="1" style="1" min="3" max="3"/>
    <col width="33.44140625" bestFit="1" customWidth="1" style="1" min="4" max="4"/>
    <col width="38.88671875" customWidth="1" style="1" min="5" max="5"/>
    <col hidden="1" width="9.109375" customWidth="1" style="1" min="6" max="8"/>
    <col hidden="1" width="13" customWidth="1" style="1" min="9" max="9"/>
    <col width="9.109375" customWidth="1" style="1" min="10" max="15"/>
    <col width="9.109375" customWidth="1" style="1" min="16" max="16384"/>
  </cols>
  <sheetData>
    <row r="1" hidden="1" ht="13.2" customHeight="1">
      <c r="C1" s="28" t="inlineStr">
        <is>
          <t>Color Legend</t>
        </is>
      </c>
      <c r="D1" s="29" t="n"/>
      <c r="E1" s="30" t="n"/>
    </row>
    <row r="2" hidden="1">
      <c r="C2" s="17" t="n"/>
      <c r="D2" s="5" t="inlineStr">
        <is>
          <t>Form &amp; Score Page</t>
        </is>
      </c>
      <c r="E2" s="5" t="inlineStr">
        <is>
          <t>Fixed Inputs</t>
        </is>
      </c>
    </row>
    <row r="3" hidden="1">
      <c r="C3" s="15" t="n"/>
      <c r="D3" s="5" t="inlineStr">
        <is>
          <t>Form &amp; Score Page</t>
        </is>
      </c>
      <c r="E3" s="5" t="inlineStr">
        <is>
          <t>To be filled by evaluator</t>
        </is>
      </c>
    </row>
    <row r="4" hidden="1">
      <c r="C4" s="18" t="n"/>
      <c r="D4" s="5" t="inlineStr">
        <is>
          <t>Score Page</t>
        </is>
      </c>
      <c r="E4" s="5" t="inlineStr">
        <is>
          <t>Fixed (Defined Inputs)</t>
        </is>
      </c>
    </row>
    <row r="5" hidden="1">
      <c r="C5" s="9" t="n"/>
      <c r="D5" s="5" t="inlineStr">
        <is>
          <t>Score Page</t>
        </is>
      </c>
      <c r="E5" s="5" t="inlineStr">
        <is>
          <t>Auto output</t>
        </is>
      </c>
    </row>
    <row r="6" hidden="1">
      <c r="C6" s="4" t="n"/>
      <c r="D6" s="5" t="inlineStr">
        <is>
          <t>Result Page</t>
        </is>
      </c>
      <c r="E6" s="5" t="inlineStr">
        <is>
          <t>Final Scorecard</t>
        </is>
      </c>
    </row>
    <row r="7">
      <c r="C7" s="24" t="n"/>
      <c r="D7" s="24" t="n"/>
      <c r="E7" s="24" t="n"/>
    </row>
    <row r="8">
      <c r="D8" s="6" t="inlineStr">
        <is>
          <t>BA Name</t>
        </is>
      </c>
      <c r="E8" s="23" t="inlineStr">
        <is>
          <t>DPR Logistics</t>
        </is>
      </c>
    </row>
    <row r="9">
      <c r="D9" s="6" t="inlineStr">
        <is>
          <t>BA ID</t>
        </is>
      </c>
      <c r="E9" s="23" t="inlineStr">
        <is>
          <t>DPR-BA-001</t>
        </is>
      </c>
      <c r="F9" s="1" t="inlineStr">
        <is>
          <t>(To be picked from BA Master Database)</t>
        </is>
      </c>
    </row>
    <row r="10">
      <c r="D10" s="6" t="inlineStr">
        <is>
          <t>BA Contact No</t>
        </is>
      </c>
      <c r="E10" s="23" t="n">
        <v>9371662142</v>
      </c>
    </row>
    <row r="11">
      <c r="D11" s="6" t="inlineStr">
        <is>
          <t>Pan Card No</t>
        </is>
      </c>
      <c r="E11" s="23" t="inlineStr">
        <is>
          <t>BNLPK2073C</t>
        </is>
      </c>
    </row>
    <row r="12">
      <c r="D12" s="6" t="inlineStr">
        <is>
          <t>GST No</t>
        </is>
      </c>
      <c r="E12" s="23" t="inlineStr">
        <is>
          <t>27BNLPK2073C1Z5</t>
        </is>
      </c>
    </row>
    <row r="14" ht="20.4" customHeight="1">
      <c r="A14" s="6" t="inlineStr">
        <is>
          <t>Requirements</t>
        </is>
      </c>
      <c r="B14" s="7" t="inlineStr">
        <is>
          <t>Section</t>
        </is>
      </c>
      <c r="C14" s="7" t="inlineStr">
        <is>
          <t>Sr. No.</t>
        </is>
      </c>
      <c r="D14" s="7" t="inlineStr">
        <is>
          <t>Questionnaire</t>
        </is>
      </c>
      <c r="E14" s="7" t="inlineStr">
        <is>
          <t>Options (Select from Dropdown)</t>
        </is>
      </c>
      <c r="F14" s="10" t="inlineStr">
        <is>
          <t>Rating</t>
        </is>
      </c>
      <c r="G14" s="10" t="inlineStr">
        <is>
          <t>Actual Score</t>
        </is>
      </c>
      <c r="H14" s="19" t="inlineStr">
        <is>
          <t>Highest Score</t>
        </is>
      </c>
    </row>
    <row r="15">
      <c r="A15" s="8" t="inlineStr">
        <is>
          <t>MH</t>
        </is>
      </c>
      <c r="B15" s="8" t="inlineStr">
        <is>
          <t>A</t>
        </is>
      </c>
      <c r="C15" s="8" t="inlineStr">
        <is>
          <t>A1</t>
        </is>
      </c>
      <c r="D15" s="8" t="inlineStr">
        <is>
          <t>Type of Company</t>
        </is>
      </c>
      <c r="E15" s="27" t="inlineStr">
        <is>
          <t>Proprietorship</t>
        </is>
      </c>
      <c r="F15" s="9">
        <f>INDEX(A1_Company[],MATCH($E15,A1_Company[Company],0),2)</f>
        <v/>
      </c>
      <c r="G15" s="9">
        <f>INDEX('Options Weight'!$A$2:$C$7,MATCH($E15,'Options Weight'!$A$2:$A$7,0),3)</f>
        <v/>
      </c>
      <c r="H15" s="18" t="n">
        <v>3</v>
      </c>
    </row>
    <row r="16">
      <c r="A16" s="8" t="inlineStr">
        <is>
          <t>GTH</t>
        </is>
      </c>
      <c r="B16" s="8" t="inlineStr">
        <is>
          <t>A</t>
        </is>
      </c>
      <c r="C16" s="8" t="inlineStr">
        <is>
          <t>A2</t>
        </is>
      </c>
      <c r="D16" s="8" t="inlineStr">
        <is>
          <t>Age of Managing Director / Partner</t>
        </is>
      </c>
      <c r="E16" s="23" t="inlineStr">
        <is>
          <t>45 Yrs</t>
        </is>
      </c>
      <c r="F16" s="9">
        <f>INDEX(A2_Director_Age[],MATCH($E16,A2_Director_Age[Director Age],0),2)</f>
        <v/>
      </c>
      <c r="G16" s="9">
        <f>INDEX('Options Weight'!$A$12:$C$14,MATCH($E16,'Options Weight'!$A$12:$A$14,0),3)</f>
        <v/>
      </c>
      <c r="H16" s="18" t="n">
        <v>3</v>
      </c>
    </row>
    <row r="17">
      <c r="A17" s="8" t="inlineStr">
        <is>
          <t>GTH</t>
        </is>
      </c>
      <c r="B17" s="8" t="inlineStr">
        <is>
          <t>A</t>
        </is>
      </c>
      <c r="C17" s="8" t="inlineStr">
        <is>
          <t>A3</t>
        </is>
      </c>
      <c r="D17" s="8" t="inlineStr">
        <is>
          <t>Experience of MD/Partner in Logistics Industry</t>
        </is>
      </c>
      <c r="E17" s="23" t="inlineStr">
        <is>
          <t>25 years</t>
        </is>
      </c>
      <c r="F17" s="9">
        <f>INDEX(A3_Experience[],MATCH($E17,A3_Experience[Experience]),2)</f>
        <v/>
      </c>
      <c r="G17" s="9">
        <f>INDEX(A3_Experience[],MATCH($E17,A3_Experience[Experience]),3)</f>
        <v/>
      </c>
      <c r="H17" s="18" t="n">
        <v>3</v>
      </c>
    </row>
    <row r="18">
      <c r="A18" s="8" t="inlineStr">
        <is>
          <t>GTH</t>
        </is>
      </c>
      <c r="B18" s="8" t="inlineStr">
        <is>
          <t>A</t>
        </is>
      </c>
      <c r="C18" s="8" t="inlineStr">
        <is>
          <t>A4</t>
        </is>
      </c>
      <c r="D18" s="8" t="inlineStr">
        <is>
          <t>Business Portfolio</t>
        </is>
      </c>
      <c r="E18" s="23" t="inlineStr">
        <is>
          <t>1. Total Logistic Service</t>
        </is>
      </c>
      <c r="F18" s="9">
        <f>INDEX(A4_Portfolio[],MATCH($E18,A4_Portfolio[Portfolio]),2)</f>
        <v/>
      </c>
      <c r="G18" s="9">
        <f>INDEX('Options Weight'!$A$26:$C$29,MATCH($E18,'Options Weight'!$A$26:$A$29),3)</f>
        <v/>
      </c>
      <c r="H18" s="18" t="n">
        <v>3</v>
      </c>
    </row>
    <row r="19">
      <c r="A19" s="8" t="inlineStr">
        <is>
          <t>GTH</t>
        </is>
      </c>
      <c r="B19" s="8" t="inlineStr">
        <is>
          <t>A</t>
        </is>
      </c>
      <c r="C19" s="8" t="inlineStr">
        <is>
          <t>A5</t>
        </is>
      </c>
      <c r="D19" s="8" t="inlineStr">
        <is>
          <t>Profile of Customers</t>
        </is>
      </c>
      <c r="E19" s="23" t="inlineStr">
        <is>
          <t>Only MNC's/Pvt Co</t>
        </is>
      </c>
      <c r="F19" s="9">
        <f>INDEX(E1_Customers[],MATCH($E19,E1_Customers[Customers]),2)</f>
        <v/>
      </c>
      <c r="G19" s="9">
        <f>INDEX(E1_Customers[],MATCH($E19,E1_Customers[Customers]),3)</f>
        <v/>
      </c>
      <c r="H19" s="18" t="n">
        <v>3</v>
      </c>
    </row>
    <row r="20">
      <c r="A20" s="8" t="inlineStr">
        <is>
          <t>MH</t>
        </is>
      </c>
      <c r="B20" s="8" t="inlineStr">
        <is>
          <t>B</t>
        </is>
      </c>
      <c r="C20" s="8" t="inlineStr">
        <is>
          <t>B1</t>
        </is>
      </c>
      <c r="D20" s="8" t="inlineStr">
        <is>
          <t>Group Turnover</t>
        </is>
      </c>
      <c r="E20" s="23" t="inlineStr">
        <is>
          <t>7 Cr</t>
        </is>
      </c>
      <c r="F20" s="9">
        <f>INDEX(B1_BTurnover[],MATCH($E20,B1_BTurnover[Business Turnover]),2)</f>
        <v/>
      </c>
      <c r="G20" s="9">
        <f>INDEX(B1_BTurnover[],MATCH($E20,B1_BTurnover[Business Turnover]),3)</f>
        <v/>
      </c>
      <c r="H20" s="18" t="n">
        <v>3</v>
      </c>
    </row>
    <row r="21" ht="12.75" customHeight="1">
      <c r="A21" s="8" t="inlineStr">
        <is>
          <t>MH</t>
        </is>
      </c>
      <c r="B21" s="8" t="inlineStr">
        <is>
          <t>B</t>
        </is>
      </c>
      <c r="C21" s="8" t="inlineStr">
        <is>
          <t>B2</t>
        </is>
      </c>
      <c r="D21" s="8" t="inlineStr">
        <is>
          <t>Transport Business</t>
        </is>
      </c>
      <c r="E21" s="23" t="inlineStr">
        <is>
          <t>7 Cr</t>
        </is>
      </c>
      <c r="F21" s="9">
        <f>INDEX(B2_TTurnover[],MATCH($E21,B2_TTurnover[Transport Turnover]),2)</f>
        <v/>
      </c>
      <c r="G21" s="9">
        <f>INDEX(B2_TTurnover[],MATCH($E21,B2_TTurnover[Transport Turnover]),3)</f>
        <v/>
      </c>
      <c r="H21" s="18" t="n">
        <v>3</v>
      </c>
    </row>
    <row r="22">
      <c r="A22" s="8" t="inlineStr">
        <is>
          <t>MH</t>
        </is>
      </c>
      <c r="B22" s="8" t="inlineStr">
        <is>
          <t>C</t>
        </is>
      </c>
      <c r="C22" s="8" t="inlineStr">
        <is>
          <t>C1</t>
        </is>
      </c>
      <c r="D22" s="8" t="inlineStr">
        <is>
          <t>Area of Transport operations</t>
        </is>
      </c>
      <c r="E22" s="23" t="inlineStr">
        <is>
          <t>Maharashtra Rajasthan, Uttarakhand</t>
        </is>
      </c>
      <c r="F22" s="9">
        <f>INDEX(C_Coverage[],MATCH($E22,C_Coverage[Coverage]),2)</f>
        <v/>
      </c>
      <c r="G22" s="9">
        <f>INDEX(C_Coverage[],MATCH($E22,C_Coverage[Coverage]),3)</f>
        <v/>
      </c>
      <c r="H22" s="18" t="n">
        <v>3</v>
      </c>
    </row>
    <row r="23">
      <c r="A23" s="8" t="inlineStr">
        <is>
          <t>MH</t>
        </is>
      </c>
      <c r="B23" s="8" t="inlineStr">
        <is>
          <t>C</t>
        </is>
      </c>
      <c r="C23" s="8" t="inlineStr">
        <is>
          <t>C2</t>
        </is>
      </c>
      <c r="D23" s="8" t="inlineStr">
        <is>
          <t>No. of  owned Trucks</t>
        </is>
      </c>
      <c r="E23" s="23" t="n">
        <v>10</v>
      </c>
      <c r="F23" s="9">
        <f>INDEX(C_Owned_Trucks[],MATCH($E23,C_Owned_Trucks[Owned Trucks]),2)</f>
        <v/>
      </c>
      <c r="G23" s="9">
        <f>INDEX(C_Owned_Trucks[],MATCH($E23,C_Owned_Trucks[Owned Trucks]),3)</f>
        <v/>
      </c>
      <c r="H23" s="18" t="n">
        <v>3</v>
      </c>
    </row>
    <row r="24">
      <c r="A24" s="8" t="inlineStr">
        <is>
          <t>MH</t>
        </is>
      </c>
      <c r="B24" s="8" t="inlineStr">
        <is>
          <t>C</t>
        </is>
      </c>
      <c r="C24" s="8" t="inlineStr">
        <is>
          <t>C3</t>
        </is>
      </c>
      <c r="D24" s="8" t="inlineStr">
        <is>
          <t>No. of Attached Trucks</t>
        </is>
      </c>
      <c r="E24" s="23" t="inlineStr">
        <is>
          <t>80+</t>
        </is>
      </c>
      <c r="F24" s="9">
        <f>INDEX(C_Attached_Trucks[],MATCH($E24,C_Attached_Trucks[Attached Trucks]),2)</f>
        <v/>
      </c>
      <c r="G24" s="9">
        <f>INDEX(C_Attached_Trucks[],MATCH($E24,C_Attached_Trucks[Attached Trucks]),3)</f>
        <v/>
      </c>
      <c r="H24" s="18" t="n">
        <v>3</v>
      </c>
    </row>
    <row r="25">
      <c r="A25" s="8" t="inlineStr">
        <is>
          <t>MH</t>
        </is>
      </c>
      <c r="B25" s="8" t="inlineStr">
        <is>
          <t>D</t>
        </is>
      </c>
      <c r="C25" s="8" t="inlineStr">
        <is>
          <t>D1</t>
        </is>
      </c>
      <c r="D25" s="8" t="inlineStr">
        <is>
          <t>Use of software for finance</t>
        </is>
      </c>
      <c r="E25" s="23" t="inlineStr">
        <is>
          <t>Customized In-house Accounting &amp; Finance Software</t>
        </is>
      </c>
      <c r="F25" s="9">
        <f>INDEX(D1_Software[],MATCH($E25,D1_Software[Software]),2)</f>
        <v/>
      </c>
      <c r="G25" s="9">
        <f>INDEX(D1_Software[],MATCH($E25,D1_Software[Software]),3)</f>
        <v/>
      </c>
      <c r="H25" s="18" t="n">
        <v>3</v>
      </c>
    </row>
    <row r="26">
      <c r="A26" s="8" t="inlineStr">
        <is>
          <t>MH</t>
        </is>
      </c>
      <c r="B26" s="8" t="inlineStr">
        <is>
          <t>D</t>
        </is>
      </c>
      <c r="C26" s="8" t="inlineStr">
        <is>
          <t>D2</t>
        </is>
      </c>
      <c r="D26" s="8" t="inlineStr">
        <is>
          <t>GPS enabled vehicles</t>
        </is>
      </c>
      <c r="E26" s="23" t="inlineStr">
        <is>
          <t>Yes</t>
        </is>
      </c>
      <c r="F26" s="9">
        <f>INDEX(D2_GPS[],MATCH($E26,D2_GPS[GPS]),2)</f>
        <v/>
      </c>
      <c r="G26" s="9">
        <f>INDEX(D2_GPS[],MATCH($E26,D2_GPS[GPS]),3)</f>
        <v/>
      </c>
      <c r="H26" s="18" t="n">
        <v>3</v>
      </c>
    </row>
    <row r="27">
      <c r="A27" s="8" t="inlineStr">
        <is>
          <t>MH</t>
        </is>
      </c>
      <c r="B27" s="8" t="inlineStr">
        <is>
          <t>D</t>
        </is>
      </c>
      <c r="C27" s="8" t="inlineStr">
        <is>
          <t>D3</t>
        </is>
      </c>
      <c r="D27" s="8" t="inlineStr">
        <is>
          <t>MIS</t>
        </is>
      </c>
      <c r="E27" s="23" t="inlineStr">
        <is>
          <t>System generated MIS</t>
        </is>
      </c>
      <c r="F27" s="9">
        <f>INDEX(D3_MIS[],MATCH($E27,D3_MIS[MIS]),2)</f>
        <v/>
      </c>
      <c r="G27" s="9">
        <f>INDEX(D3_MIS[],MATCH($E27,D3_MIS[MIS]),3)</f>
        <v/>
      </c>
      <c r="H27" s="18" t="n">
        <v>3</v>
      </c>
    </row>
    <row r="28">
      <c r="A28" s="8" t="inlineStr">
        <is>
          <t>GTH</t>
        </is>
      </c>
      <c r="B28" s="8" t="inlineStr">
        <is>
          <t>E</t>
        </is>
      </c>
      <c r="C28" s="8" t="inlineStr">
        <is>
          <t>E1</t>
        </is>
      </c>
      <c r="D28" s="8" t="inlineStr">
        <is>
          <t>Driver Training Program</t>
        </is>
      </c>
      <c r="E28" s="23" t="inlineStr">
        <is>
          <t>Yes</t>
        </is>
      </c>
      <c r="F28" s="9">
        <f>INDEX(E2_DTraining[],MATCH($E28,E2_DTraining[Driver Training]),2)</f>
        <v/>
      </c>
      <c r="G28" s="9">
        <f>INDEX(E2_DTraining[],MATCH($E28,E2_DTraining[Driver Training]),3)</f>
        <v/>
      </c>
      <c r="H28" s="18" t="n">
        <v>3</v>
      </c>
    </row>
    <row r="29">
      <c r="A29" s="8" t="inlineStr">
        <is>
          <t>GTH</t>
        </is>
      </c>
      <c r="B29" s="8" t="inlineStr">
        <is>
          <t>E</t>
        </is>
      </c>
      <c r="C29" s="8" t="inlineStr">
        <is>
          <t>E2</t>
        </is>
      </c>
      <c r="D29" s="8" t="inlineStr">
        <is>
          <t>Driver Safety/Insurance</t>
        </is>
      </c>
      <c r="E29" s="23" t="inlineStr">
        <is>
          <t>Yes</t>
        </is>
      </c>
      <c r="F29" s="9">
        <f>INDEX(E3_DInsurance[],MATCH($E29,E3_DInsurance[Driver Insurance]),2)</f>
        <v/>
      </c>
      <c r="G29" s="9">
        <f>INDEX(E3_DInsurance[],MATCH($E29,E3_DInsurance[Driver Insurance]),3)</f>
        <v/>
      </c>
      <c r="H29" s="18" t="n">
        <v>3</v>
      </c>
    </row>
    <row r="30">
      <c r="A30" s="8" t="inlineStr">
        <is>
          <t>GTH</t>
        </is>
      </c>
      <c r="B30" s="8" t="inlineStr">
        <is>
          <t>E</t>
        </is>
      </c>
      <c r="C30" s="8" t="inlineStr">
        <is>
          <t>E3</t>
        </is>
      </c>
      <c r="D30" s="8" t="inlineStr">
        <is>
          <t>Driver Social Welfare</t>
        </is>
      </c>
      <c r="E30" s="23" t="inlineStr">
        <is>
          <t>Yes</t>
        </is>
      </c>
      <c r="F30" s="9">
        <f>INDEX(E4_DWelfare[],MATCH($E30,E4_DWelfare[Driver Welfare]),2)</f>
        <v/>
      </c>
      <c r="G30" s="9">
        <f>INDEX(E4_DWelfare[],MATCH($E30,E4_DWelfare[Driver Welfare]),3)</f>
        <v/>
      </c>
      <c r="H30" s="18" t="n">
        <v>3</v>
      </c>
    </row>
    <row r="32">
      <c r="D32" s="1" t="inlineStr">
        <is>
          <t>to be filled by MLL</t>
        </is>
      </c>
    </row>
    <row r="33">
      <c r="D33" s="6" t="inlineStr">
        <is>
          <t>Review Date</t>
        </is>
      </c>
      <c r="E33" s="23" t="inlineStr">
        <is>
          <t>03-Sep-2026</t>
        </is>
      </c>
    </row>
    <row r="34">
      <c r="D34" s="6" t="inlineStr">
        <is>
          <t>Reviewer Name</t>
        </is>
      </c>
      <c r="E34" s="23" t="inlineStr">
        <is>
          <t>Procurement / Ops Review — DPR Logistics</t>
        </is>
      </c>
    </row>
    <row r="35">
      <c r="C35" s="24" t="n"/>
      <c r="D35" s="24" t="n"/>
      <c r="E35" s="24" t="n"/>
    </row>
    <row r="36" hidden="1">
      <c r="D36" s="7" t="inlineStr">
        <is>
          <t>Subjective Assesment</t>
        </is>
      </c>
      <c r="E36" s="7" t="inlineStr">
        <is>
          <t>Description (Max 100 words)</t>
        </is>
      </c>
    </row>
    <row r="37" hidden="1">
      <c r="D37" s="8" t="inlineStr">
        <is>
          <t>Transperancy of Accounts</t>
        </is>
      </c>
      <c r="E37" s="25" t="inlineStr">
        <is>
          <t>Books and GST billing maintained digitally via DPR Logistics ERP with LR, tax invoice and money receipt trail.</t>
        </is>
      </c>
    </row>
    <row r="38" hidden="1">
      <c r="D38" s="8" t="inlineStr">
        <is>
          <t>Profit Sharing</t>
        </is>
      </c>
      <c r="E38" s="25" t="inlineStr">
        <is>
          <t>Transparent freight billing with GST invoice (FCM) and clear party ledger / outstanding reports.</t>
        </is>
      </c>
    </row>
    <row r="39" hidden="1">
      <c r="D39" s="8" t="inlineStr">
        <is>
          <t>Ability to see long term</t>
        </is>
      </c>
      <c r="E39" s="25" t="inlineStr">
        <is>
          <t>Focused on long-term contract lanes across Maharashtra, Gujarat and pan-India industrial cargo.</t>
        </is>
      </c>
    </row>
    <row r="40" hidden="1">
      <c r="D40" s="8" t="inlineStr">
        <is>
          <t>Ability to work with MLL designed systems</t>
        </is>
      </c>
      <c r="E40" s="25" t="inlineStr">
        <is>
          <t>Already running digital LR booking, tracking, billing, POD and money receipt on dprlogistics.in ERP.</t>
        </is>
      </c>
    </row>
    <row r="41" hidden="1">
      <c r="D41" s="8" t="inlineStr">
        <is>
          <t>Ambition</t>
        </is>
      </c>
      <c r="E41" s="25" t="inlineStr">
        <is>
          <t>Expanding digital customer portal, more lanes and attached fleet capacity.</t>
        </is>
      </c>
    </row>
    <row r="42" hidden="1">
      <c r="D42" s="8" t="inlineStr">
        <is>
          <t>Potential to Grow</t>
        </is>
      </c>
      <c r="E42" s="25" t="inlineStr">
        <is>
          <t>Strong base in Kolhapur MIDC with national coverage and enterprise customers.</t>
        </is>
      </c>
    </row>
    <row r="43" hidden="1">
      <c r="D43" s="8" t="inlineStr">
        <is>
          <t>Any other Matters</t>
        </is>
      </c>
      <c r="E43" s="25" t="inlineStr">
        <is>
          <t>Services: part load, FTL, trailer, container, warehousing, GC/LR online tracking, GST billing.</t>
        </is>
      </c>
    </row>
    <row r="44" hidden="1"/>
    <row r="45" hidden="1" ht="13.2" customHeight="1">
      <c r="E45" s="31" t="inlineStr">
        <is>
          <t>BA ScoreCard</t>
        </is>
      </c>
      <c r="F45" s="29" t="n"/>
      <c r="G45" s="29" t="n"/>
      <c r="H45" s="30" t="n"/>
      <c r="J45" s="11" t="inlineStr">
        <is>
          <t>Actual Score</t>
        </is>
      </c>
      <c r="K45" s="11" t="n"/>
      <c r="L45" s="11" t="inlineStr">
        <is>
          <t>Highest Score</t>
        </is>
      </c>
      <c r="M45" s="11" t="n"/>
    </row>
    <row r="46" hidden="1" ht="13.2" customHeight="1">
      <c r="E46" s="31" t="inlineStr">
        <is>
          <t>Section Score</t>
        </is>
      </c>
      <c r="F46" s="30" t="n"/>
      <c r="G46" s="31" t="inlineStr">
        <is>
          <t>MH</t>
        </is>
      </c>
      <c r="H46" s="31" t="inlineStr">
        <is>
          <t>GTH</t>
        </is>
      </c>
      <c r="J46" s="11" t="inlineStr">
        <is>
          <t>MH</t>
        </is>
      </c>
      <c r="K46" s="11" t="inlineStr">
        <is>
          <t>GTH</t>
        </is>
      </c>
      <c r="L46" s="11" t="inlineStr">
        <is>
          <t>MH</t>
        </is>
      </c>
      <c r="M46" s="11" t="inlineStr">
        <is>
          <t>GTH</t>
        </is>
      </c>
    </row>
    <row r="47" hidden="1">
      <c r="E47" s="3" t="inlineStr">
        <is>
          <t>Company Profile</t>
        </is>
      </c>
      <c r="F47" s="12" t="inlineStr">
        <is>
          <t>A</t>
        </is>
      </c>
      <c r="G47" s="13">
        <f>_xlfn.CONCAT(J47," of ",L47)</f>
        <v/>
      </c>
      <c r="H47" s="13">
        <f>_xlfn.CONCAT(K47," of ",M47)</f>
        <v/>
      </c>
      <c r="J47" s="9">
        <f>SUMIFS($G$15:$G$30,$B$15:$B$30,$F47,$A$15:$A$30,J$46)</f>
        <v/>
      </c>
      <c r="K47" s="9">
        <f>SUMIFS($G$15:$G$30,$B$15:$B$30,$F47,$A$15:$A$30,K$46)</f>
        <v/>
      </c>
      <c r="L47" s="9">
        <f>SUMIFS($H$15:$H$30,$B$15:$B$30,$F47,$A$15:$A$30,L$46)</f>
        <v/>
      </c>
      <c r="M47" s="9">
        <f>SUMIFS($H$15:$H$30,$B$15:$B$30,$F47,$A$15:$A$30,M$46)</f>
        <v/>
      </c>
    </row>
    <row r="48" hidden="1">
      <c r="E48" s="3" t="inlineStr">
        <is>
          <t>Financials</t>
        </is>
      </c>
      <c r="F48" s="12" t="inlineStr">
        <is>
          <t>B</t>
        </is>
      </c>
      <c r="G48" s="13">
        <f>_xlfn.CONCAT(J48," of ",L48)</f>
        <v/>
      </c>
      <c r="H48" s="13">
        <f>_xlfn.CONCAT(K48," of ",M48)</f>
        <v/>
      </c>
      <c r="J48" s="9">
        <f>SUMIFS($G$15:$G$30,$B$15:$B$30,$F48,$A$15:$A$30,J$46)</f>
        <v/>
      </c>
      <c r="K48" s="9">
        <f>SUMIFS($G$15:$G$30,$B$15:$B$30,$F48,$A$15:$A$30,K$46)</f>
        <v/>
      </c>
      <c r="L48" s="9">
        <f>SUMIFS($H$15:$H$30,$B$15:$B$30,$F48,$A$15:$A$30,L$46)</f>
        <v/>
      </c>
      <c r="M48" s="9">
        <f>SUMIFS($H$15:$H$30,$B$15:$B$30,$F48,$A$15:$A$30,M$46)</f>
        <v/>
      </c>
    </row>
    <row r="49" hidden="1">
      <c r="E49" s="3" t="inlineStr">
        <is>
          <t>Operations</t>
        </is>
      </c>
      <c r="F49" s="12" t="inlineStr">
        <is>
          <t>C</t>
        </is>
      </c>
      <c r="G49" s="13">
        <f>_xlfn.CONCAT(J49," of ",L49)</f>
        <v/>
      </c>
      <c r="H49" s="13">
        <f>_xlfn.CONCAT(K49," of ",M49)</f>
        <v/>
      </c>
      <c r="J49" s="9">
        <f>SUMIFS($G$15:$G$30,$B$15:$B$30,$F49,$A$15:$A$30,J$46)</f>
        <v/>
      </c>
      <c r="K49" s="9">
        <f>SUMIFS($G$15:$G$30,$B$15:$B$30,$F49,$A$15:$A$30,K$46)</f>
        <v/>
      </c>
      <c r="L49" s="9">
        <f>SUMIFS($H$15:$H$30,$B$15:$B$30,$F49,$A$15:$A$30,L$46)</f>
        <v/>
      </c>
      <c r="M49" s="9">
        <f>SUMIFS($H$15:$H$30,$B$15:$B$30,$F49,$A$15:$A$30,M$46)</f>
        <v/>
      </c>
    </row>
    <row r="50" hidden="1">
      <c r="E50" s="3" t="inlineStr">
        <is>
          <t>Systems</t>
        </is>
      </c>
      <c r="F50" s="12" t="inlineStr">
        <is>
          <t>D</t>
        </is>
      </c>
      <c r="G50" s="13">
        <f>_xlfn.CONCAT(J50," of ",L50)</f>
        <v/>
      </c>
      <c r="H50" s="13">
        <f>_xlfn.CONCAT(K50," of ",M50)</f>
        <v/>
      </c>
      <c r="J50" s="9">
        <f>SUMIFS($G$15:$G$30,$B$15:$B$30,$F50,$A$15:$A$30,J$46)</f>
        <v/>
      </c>
      <c r="K50" s="9">
        <f>SUMIFS($G$15:$G$30,$B$15:$B$30,$F50,$A$15:$A$30,K$46)</f>
        <v/>
      </c>
      <c r="L50" s="9">
        <f>SUMIFS($H$15:$H$30,$B$15:$B$30,$F50,$A$15:$A$30,L$46)</f>
        <v/>
      </c>
      <c r="M50" s="9">
        <f>SUMIFS($H$15:$H$30,$B$15:$B$30,$F50,$A$15:$A$30,M$46)</f>
        <v/>
      </c>
    </row>
    <row r="51" hidden="1">
      <c r="E51" s="3" t="inlineStr">
        <is>
          <t>Engagement</t>
        </is>
      </c>
      <c r="F51" s="12" t="inlineStr">
        <is>
          <t>E</t>
        </is>
      </c>
      <c r="G51" s="13">
        <f>_xlfn.CONCAT(J51," of ",L51)</f>
        <v/>
      </c>
      <c r="H51" s="13">
        <f>_xlfn.CONCAT(K51," of ",M51)</f>
        <v/>
      </c>
      <c r="J51" s="9">
        <f>SUMIFS($G$15:$G$30,$B$15:$B$30,$F51,$A$15:$A$30,J$46)</f>
        <v/>
      </c>
      <c r="K51" s="9">
        <f>SUMIFS($G$15:$G$30,$B$15:$B$30,$F51,$A$15:$A$30,K$46)</f>
        <v/>
      </c>
      <c r="L51" s="9">
        <f>SUMIFS($H$15:$H$30,$B$15:$B$30,$F51,$A$15:$A$30,L$46)</f>
        <v/>
      </c>
      <c r="M51" s="9">
        <f>SUMIFS($H$15:$H$30,$B$15:$B$30,$F51,$A$15:$A$30,M$46)</f>
        <v/>
      </c>
    </row>
    <row r="52" hidden="1" ht="13.2" customHeight="1">
      <c r="E52" s="31" t="inlineStr">
        <is>
          <t>Total Score</t>
        </is>
      </c>
      <c r="F52" s="30" t="n"/>
      <c r="G52" s="31">
        <f>_xlfn.CONCAT(J52," of ",L52)</f>
        <v/>
      </c>
      <c r="H52" s="31">
        <f>_xlfn.CONCAT(K52," of ",M52)</f>
        <v/>
      </c>
      <c r="J52" s="9">
        <f>SUM(J47:J51)</f>
        <v/>
      </c>
      <c r="K52" s="9">
        <f>SUM(K47:K51)</f>
        <v/>
      </c>
      <c r="L52" s="9">
        <f>SUM(L47:L51)</f>
        <v/>
      </c>
      <c r="M52" s="9">
        <f>SUM(M47:M51)</f>
        <v/>
      </c>
    </row>
    <row r="53" hidden="1" ht="13.2" customHeight="1">
      <c r="E53" s="31" t="inlineStr">
        <is>
          <t>Percentage Score</t>
        </is>
      </c>
      <c r="F53" s="30" t="n"/>
      <c r="G53" s="16">
        <f>J52/L52</f>
        <v/>
      </c>
      <c r="H53" s="16">
        <f>K52/M52</f>
        <v/>
      </c>
    </row>
    <row r="54" hidden="1" ht="13.2" customHeight="1">
      <c r="E54" s="31" t="inlineStr">
        <is>
          <t>Star Rating (0 to 5)</t>
        </is>
      </c>
      <c r="F54" s="30" t="n"/>
      <c r="G54" s="31">
        <f>INDEX(K57:O61,MATCH(G53,J57:J61,1),MATCH(H53,K56:O56,1))</f>
        <v/>
      </c>
      <c r="H54" s="30" t="n"/>
    </row>
    <row r="55" hidden="1" ht="13.2" customHeight="1">
      <c r="K55" s="35" t="inlineStr">
        <is>
          <t>Min GTH %</t>
        </is>
      </c>
      <c r="L55" s="29" t="n"/>
      <c r="M55" s="29" t="n"/>
      <c r="N55" s="29" t="n"/>
      <c r="O55" s="30" t="n"/>
    </row>
    <row r="56" hidden="1">
      <c r="J56" s="20" t="inlineStr">
        <is>
          <t>Star Rating Table</t>
        </is>
      </c>
      <c r="K56" s="21" t="n">
        <v>0</v>
      </c>
      <c r="L56" s="21" t="n">
        <v>0.25</v>
      </c>
      <c r="M56" s="21" t="n">
        <v>0.5</v>
      </c>
      <c r="N56" s="21" t="n">
        <v>0.75</v>
      </c>
      <c r="O56" s="21" t="n">
        <v>1</v>
      </c>
    </row>
    <row r="57" hidden="1">
      <c r="I57" s="32" t="inlineStr">
        <is>
          <t>Min MH %</t>
        </is>
      </c>
      <c r="J57" s="21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</row>
    <row r="58" hidden="1">
      <c r="I58" s="33" t="n"/>
      <c r="J58" s="21" t="n">
        <v>0.5</v>
      </c>
      <c r="K58" s="22" t="n">
        <v>1</v>
      </c>
      <c r="L58" s="22" t="n">
        <v>1</v>
      </c>
      <c r="M58" s="22" t="n">
        <v>2</v>
      </c>
      <c r="N58" s="22" t="n">
        <v>3</v>
      </c>
      <c r="O58" s="22" t="n">
        <v>3</v>
      </c>
    </row>
    <row r="59" hidden="1">
      <c r="I59" s="33" t="n"/>
      <c r="J59" s="21" t="n">
        <v>0.6</v>
      </c>
      <c r="K59" s="22" t="n">
        <v>2</v>
      </c>
      <c r="L59" s="22" t="n">
        <v>3</v>
      </c>
      <c r="M59" s="22" t="n">
        <v>3</v>
      </c>
      <c r="N59" s="22" t="n">
        <v>4</v>
      </c>
      <c r="O59" s="22" t="n">
        <v>4</v>
      </c>
    </row>
    <row r="60" hidden="1">
      <c r="I60" s="33" t="n"/>
      <c r="J60" s="21" t="n">
        <v>0.8</v>
      </c>
      <c r="K60" s="22" t="n">
        <v>3</v>
      </c>
      <c r="L60" s="22" t="n">
        <v>4</v>
      </c>
      <c r="M60" s="22" t="n">
        <v>4</v>
      </c>
      <c r="N60" s="22" t="n">
        <v>4</v>
      </c>
      <c r="O60" s="22" t="n">
        <v>5</v>
      </c>
    </row>
    <row r="61" hidden="1">
      <c r="I61" s="34" t="n"/>
      <c r="J61" s="21" t="n">
        <v>1</v>
      </c>
      <c r="K61" s="22" t="n">
        <v>4</v>
      </c>
      <c r="L61" s="22" t="n">
        <v>4</v>
      </c>
      <c r="M61" s="22" t="n">
        <v>5</v>
      </c>
      <c r="N61" s="22" t="n">
        <v>5</v>
      </c>
      <c r="O61" s="22" t="n">
        <v>5</v>
      </c>
    </row>
    <row r="62" hidden="1"/>
    <row r="63" hidden="1">
      <c r="I63" s="1" t="inlineStr">
        <is>
          <t>A Rating of 3 and above is considered as Pass</t>
        </is>
      </c>
    </row>
    <row r="64" hidden="1">
      <c r="D64" s="36" t="n"/>
      <c r="E64" s="36" t="n"/>
      <c r="F64" s="36" t="n"/>
      <c r="G64" s="36" t="n"/>
    </row>
    <row r="65">
      <c r="D65" s="37" t="n"/>
    </row>
    <row r="66">
      <c r="D66" s="38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ZbnqAzubMniPzK1WjE1S/A==" formatRows="1" sort="1" spinCount="100000" hashValue="gji0+F0JPqDy+sNtjBFccVBfZqN+TQ13o3bb+Gl3GKOLcPsgdLM1FhEBKjfQnhhR5cFlwu0w0AcHAnVDQF8jjQ=="/>
  <mergeCells count="9">
    <mergeCell ref="C1:E1"/>
    <mergeCell ref="E45:H45"/>
    <mergeCell ref="I57:I61"/>
    <mergeCell ref="E54:F54"/>
    <mergeCell ref="E46:F46"/>
    <mergeCell ref="G54:H54"/>
    <mergeCell ref="E53:F53"/>
    <mergeCell ref="E52:F52"/>
    <mergeCell ref="K55:O55"/>
  </mergeCells>
  <dataValidations count="13">
    <dataValidation sqref="E15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Limited Company,2. Private Limited,3. LLP,4. Sole Proprietorship,5. Father &amp; Sons Partnership,6. Partnership"</formula1>
    </dataValidation>
    <dataValidation sqref="E16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Less than 40 Yrs,2. 40 - 50 Yrs,3. Greater than 50 Yrs"</formula1>
    </dataValidation>
    <dataValidation sqref="E17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Less than 5 years,2. 5 to 10 years,3. Greater than 10 years"</formula1>
    </dataValidation>
    <dataValidation sqref="E18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Total Logistic Service,2. Diversified Business,3. Only FTL,4. FTL / LTL"</formula1>
    </dataValidation>
    <dataValidation sqref="E19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"Both PSU's &amp; MNC/Pvt Co,Only MNC's/Pvt Co,Only PSU's"</formula1>
    </dataValidation>
    <dataValidation sqref="E20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50 Cr,&gt; 100  Cr.,50 - 70 Cr."</formula1>
    </dataValidation>
    <dataValidation sqref="E21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30 Cr,&gt; 50 Cr,30 - 50 Cr"</formula1>
    </dataValidation>
    <dataValidation sqref="E22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"Local,National,Regional"</formula1>
    </dataValidation>
    <dataValidation sqref="E23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20,&gt;50,20 - 49"</formula1>
    </dataValidation>
    <dataValidation sqref="E24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100,&gt; 300,100 - 299"</formula1>
    </dataValidation>
    <dataValidation sqref="E25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"Management &amp; inter office connectivity,Use Financial Software,No Financial Software"</formula1>
    </dataValidation>
    <dataValidation sqref="E26 E28:E30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"Yes,No"</formula1>
    </dataValidation>
    <dataValidation sqref="E27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"Auto alerts for Exception &amp; System generated MIS,Manual MIS &amp; Tracking,No MIS,System generated MIS"</formula1>
    </dataValidation>
  </dataValidation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zoomScale="130" zoomScaleNormal="130" workbookViewId="0">
      <selection activeCell="A4" sqref="A4"/>
    </sheetView>
  </sheetViews>
  <sheetFormatPr baseColWidth="8" defaultColWidth="9.109375" defaultRowHeight="10.2"/>
  <cols>
    <col width="23.44140625" bestFit="1" customWidth="1" style="1" min="1" max="1"/>
    <col width="9.109375" customWidth="1" style="1" min="2" max="5"/>
    <col width="16.88671875" customWidth="1" style="1" min="6" max="6"/>
    <col width="9.109375" customWidth="1" style="1" min="7" max="10"/>
    <col width="12" bestFit="1" customWidth="1" style="1" min="11" max="11"/>
    <col width="9.109375" customWidth="1" style="1" min="12" max="15"/>
    <col width="16.88671875" customWidth="1" style="1" min="16" max="16"/>
    <col width="9.109375" customWidth="1" style="1" min="17" max="20"/>
    <col width="15.33203125" customWidth="1" style="1" min="21" max="21"/>
    <col width="9.109375" customWidth="1" style="1" min="22" max="22"/>
    <col width="9.109375" customWidth="1" style="1" min="23" max="16384"/>
  </cols>
  <sheetData>
    <row r="1" ht="28.5" customFormat="1" customHeight="1" s="2">
      <c r="A1" s="2" t="inlineStr">
        <is>
          <t>Company</t>
        </is>
      </c>
      <c r="B1" s="2" t="inlineStr">
        <is>
          <t>Rating</t>
        </is>
      </c>
      <c r="C1" s="2" t="inlineStr">
        <is>
          <t>Weight</t>
        </is>
      </c>
      <c r="F1" s="2" t="inlineStr">
        <is>
          <t>Business Turnover</t>
        </is>
      </c>
      <c r="G1" s="2" t="inlineStr">
        <is>
          <t>Rating</t>
        </is>
      </c>
      <c r="H1" s="2" t="inlineStr">
        <is>
          <t>Weight</t>
        </is>
      </c>
      <c r="K1" s="2" t="inlineStr">
        <is>
          <t>Coverage</t>
        </is>
      </c>
      <c r="L1" s="2" t="inlineStr">
        <is>
          <t>Rating</t>
        </is>
      </c>
      <c r="M1" s="2" t="inlineStr">
        <is>
          <t>Weight</t>
        </is>
      </c>
      <c r="P1" s="2" t="inlineStr">
        <is>
          <t>Software</t>
        </is>
      </c>
      <c r="Q1" s="2" t="inlineStr">
        <is>
          <t>Rating</t>
        </is>
      </c>
      <c r="R1" s="2" t="inlineStr">
        <is>
          <t>Weight</t>
        </is>
      </c>
      <c r="U1" s="2" t="inlineStr">
        <is>
          <t>Customers</t>
        </is>
      </c>
      <c r="V1" s="2" t="inlineStr">
        <is>
          <t>Rating</t>
        </is>
      </c>
      <c r="W1" s="2" t="inlineStr">
        <is>
          <t>Weight</t>
        </is>
      </c>
    </row>
    <row r="2">
      <c r="A2" s="1" t="inlineStr">
        <is>
          <t>1. Limited Company</t>
        </is>
      </c>
      <c r="B2" s="1" t="inlineStr">
        <is>
          <t>High</t>
        </is>
      </c>
      <c r="C2" s="1" t="n">
        <v>3</v>
      </c>
      <c r="F2" s="1" t="inlineStr">
        <is>
          <t>&lt; 50 Cr</t>
        </is>
      </c>
      <c r="G2" s="1" t="inlineStr">
        <is>
          <t>Low</t>
        </is>
      </c>
      <c r="H2" s="1" t="n">
        <v>1</v>
      </c>
      <c r="K2" s="1" t="inlineStr">
        <is>
          <t>Local</t>
        </is>
      </c>
      <c r="L2" s="1" t="inlineStr">
        <is>
          <t>Low</t>
        </is>
      </c>
      <c r="M2" s="1" t="n">
        <v>3</v>
      </c>
      <c r="P2" s="1" t="inlineStr">
        <is>
          <t>Management &amp; inter office connectivity</t>
        </is>
      </c>
      <c r="Q2" s="1" t="inlineStr">
        <is>
          <t>High</t>
        </is>
      </c>
      <c r="R2" s="1" t="n">
        <v>3</v>
      </c>
      <c r="U2" s="1" t="inlineStr">
        <is>
          <t>Both PSU's &amp; MNC/Pvt Co</t>
        </is>
      </c>
      <c r="V2" s="1" t="inlineStr">
        <is>
          <t>High</t>
        </is>
      </c>
      <c r="W2" s="1" t="n">
        <v>3</v>
      </c>
    </row>
    <row r="3">
      <c r="A3" s="26" t="inlineStr">
        <is>
          <t>2. Private Limited</t>
        </is>
      </c>
      <c r="B3" s="26" t="inlineStr">
        <is>
          <t>High</t>
        </is>
      </c>
      <c r="C3" s="26" t="n">
        <v>3</v>
      </c>
      <c r="F3" s="1" t="inlineStr">
        <is>
          <t>&gt; 100  Cr.</t>
        </is>
      </c>
      <c r="G3" s="1" t="inlineStr">
        <is>
          <t>High</t>
        </is>
      </c>
      <c r="H3" s="1" t="n">
        <v>3</v>
      </c>
      <c r="K3" s="1" t="inlineStr">
        <is>
          <t>National</t>
        </is>
      </c>
      <c r="L3" s="1" t="inlineStr">
        <is>
          <t>High</t>
        </is>
      </c>
      <c r="M3" s="1" t="n">
        <v>3</v>
      </c>
      <c r="P3" s="1" t="inlineStr">
        <is>
          <t>Use Financial Software</t>
        </is>
      </c>
      <c r="Q3" s="1" t="inlineStr">
        <is>
          <t>Medium</t>
        </is>
      </c>
      <c r="R3" s="1" t="n">
        <v>2</v>
      </c>
      <c r="U3" s="1" t="inlineStr">
        <is>
          <t>Only MNC's/Pvt Co</t>
        </is>
      </c>
      <c r="V3" s="1" t="inlineStr">
        <is>
          <t>Medium</t>
        </is>
      </c>
      <c r="W3" s="1" t="n">
        <v>2</v>
      </c>
    </row>
    <row r="4">
      <c r="A4" s="1" t="inlineStr">
        <is>
          <t>3. LLP</t>
        </is>
      </c>
      <c r="B4" s="1" t="inlineStr">
        <is>
          <t>High</t>
        </is>
      </c>
      <c r="C4" s="1" t="n">
        <v>3</v>
      </c>
      <c r="F4" s="1" t="inlineStr">
        <is>
          <t>50 - 70 Cr.</t>
        </is>
      </c>
      <c r="G4" s="1" t="inlineStr">
        <is>
          <t>Medium</t>
        </is>
      </c>
      <c r="H4" s="1" t="n">
        <v>2</v>
      </c>
      <c r="K4" s="1" t="inlineStr">
        <is>
          <t>Regional</t>
        </is>
      </c>
      <c r="L4" s="1" t="inlineStr">
        <is>
          <t>Medium</t>
        </is>
      </c>
      <c r="M4" s="1" t="n">
        <v>3</v>
      </c>
      <c r="P4" s="1" t="inlineStr">
        <is>
          <t>No Financial Software</t>
        </is>
      </c>
      <c r="Q4" s="1" t="inlineStr">
        <is>
          <t>Low</t>
        </is>
      </c>
      <c r="R4" s="1" t="n">
        <v>1</v>
      </c>
      <c r="U4" s="1" t="inlineStr">
        <is>
          <t>Only PSU's</t>
        </is>
      </c>
      <c r="V4" s="1" t="inlineStr">
        <is>
          <t>Low</t>
        </is>
      </c>
      <c r="W4" s="1" t="n">
        <v>1</v>
      </c>
    </row>
    <row r="5">
      <c r="A5" s="1" t="inlineStr">
        <is>
          <t>4. Sole Proprietorship</t>
        </is>
      </c>
      <c r="B5" s="1" t="inlineStr">
        <is>
          <t>High</t>
        </is>
      </c>
      <c r="C5" s="1" t="n">
        <v>3</v>
      </c>
    </row>
    <row r="6">
      <c r="A6" s="1" t="inlineStr">
        <is>
          <t>5. Father &amp; Sons Partnership</t>
        </is>
      </c>
      <c r="B6" s="1" t="inlineStr">
        <is>
          <t>Medium</t>
        </is>
      </c>
      <c r="C6" s="1" t="n">
        <v>2</v>
      </c>
    </row>
    <row r="7">
      <c r="A7" s="1" t="inlineStr">
        <is>
          <t>6. Partnership</t>
        </is>
      </c>
      <c r="B7" s="1" t="inlineStr">
        <is>
          <t>Low</t>
        </is>
      </c>
      <c r="C7" s="1" t="n">
        <v>1</v>
      </c>
    </row>
    <row r="10">
      <c r="F10" s="2" t="inlineStr">
        <is>
          <t>Transport Turnover</t>
        </is>
      </c>
      <c r="G10" s="2" t="inlineStr">
        <is>
          <t>Rating</t>
        </is>
      </c>
      <c r="H10" s="2" t="inlineStr">
        <is>
          <t>Weight</t>
        </is>
      </c>
      <c r="K10" s="2" t="inlineStr">
        <is>
          <t>Owned Trucks</t>
        </is>
      </c>
      <c r="L10" s="2" t="inlineStr">
        <is>
          <t>Rating</t>
        </is>
      </c>
      <c r="M10" s="2" t="inlineStr">
        <is>
          <t>Weight</t>
        </is>
      </c>
      <c r="P10" s="2" t="inlineStr">
        <is>
          <t>GPS</t>
        </is>
      </c>
      <c r="Q10" s="2" t="inlineStr">
        <is>
          <t>Rating</t>
        </is>
      </c>
      <c r="R10" s="2" t="inlineStr">
        <is>
          <t>Weight</t>
        </is>
      </c>
      <c r="U10" s="2" t="inlineStr">
        <is>
          <t>Driver Training</t>
        </is>
      </c>
      <c r="V10" s="2" t="inlineStr">
        <is>
          <t>Rating</t>
        </is>
      </c>
      <c r="W10" s="2" t="inlineStr">
        <is>
          <t>Weight</t>
        </is>
      </c>
    </row>
    <row r="11">
      <c r="A11" s="2" t="inlineStr">
        <is>
          <t>Director Age</t>
        </is>
      </c>
      <c r="B11" s="2" t="inlineStr">
        <is>
          <t>Rating</t>
        </is>
      </c>
      <c r="C11" s="2" t="inlineStr">
        <is>
          <t>Weight</t>
        </is>
      </c>
      <c r="F11" s="1" t="inlineStr">
        <is>
          <t>&lt; 30 Cr</t>
        </is>
      </c>
      <c r="G11" s="1" t="inlineStr">
        <is>
          <t>Low</t>
        </is>
      </c>
      <c r="H11" s="1" t="n">
        <v>1</v>
      </c>
      <c r="K11" s="1" t="inlineStr">
        <is>
          <t>&lt; 20</t>
        </is>
      </c>
      <c r="L11" s="1" t="inlineStr">
        <is>
          <t>Low</t>
        </is>
      </c>
      <c r="M11" s="1" t="n">
        <v>1</v>
      </c>
      <c r="P11" s="1" t="inlineStr">
        <is>
          <t>Yes</t>
        </is>
      </c>
      <c r="Q11" s="1" t="inlineStr">
        <is>
          <t>High</t>
        </is>
      </c>
      <c r="R11" s="1" t="n">
        <v>3</v>
      </c>
      <c r="U11" s="1" t="inlineStr">
        <is>
          <t>No</t>
        </is>
      </c>
      <c r="V11" s="1" t="inlineStr">
        <is>
          <t>Zero</t>
        </is>
      </c>
      <c r="W11" s="1" t="n">
        <v>0</v>
      </c>
    </row>
    <row r="12">
      <c r="A12" s="1" t="inlineStr">
        <is>
          <t>1. Less than 40 Yrs</t>
        </is>
      </c>
      <c r="B12" s="1" t="inlineStr">
        <is>
          <t>High</t>
        </is>
      </c>
      <c r="C12" s="1" t="n">
        <v>3</v>
      </c>
      <c r="F12" s="1" t="inlineStr">
        <is>
          <t>&gt; 50 Cr</t>
        </is>
      </c>
      <c r="G12" s="1" t="inlineStr">
        <is>
          <t>High</t>
        </is>
      </c>
      <c r="H12" s="1" t="n">
        <v>3</v>
      </c>
      <c r="K12" s="1" t="inlineStr">
        <is>
          <t>&gt;50</t>
        </is>
      </c>
      <c r="L12" s="1" t="inlineStr">
        <is>
          <t>High</t>
        </is>
      </c>
      <c r="M12" s="1" t="n">
        <v>3</v>
      </c>
      <c r="P12" s="1" t="inlineStr">
        <is>
          <t>No</t>
        </is>
      </c>
      <c r="Q12" s="1" t="inlineStr">
        <is>
          <t>Zero</t>
        </is>
      </c>
      <c r="R12" s="1" t="n">
        <v>0</v>
      </c>
      <c r="U12" s="1" t="inlineStr">
        <is>
          <t>Yes</t>
        </is>
      </c>
      <c r="V12" s="1" t="inlineStr">
        <is>
          <t>High</t>
        </is>
      </c>
      <c r="W12" s="1" t="n">
        <v>3</v>
      </c>
    </row>
    <row r="13">
      <c r="A13" s="1" t="inlineStr">
        <is>
          <t>2. 40 - 50 Yrs</t>
        </is>
      </c>
      <c r="B13" s="1" t="inlineStr">
        <is>
          <t>Medium</t>
        </is>
      </c>
      <c r="C13" s="1" t="n">
        <v>2</v>
      </c>
      <c r="F13" s="1" t="inlineStr">
        <is>
          <t>30 - 50 Cr</t>
        </is>
      </c>
      <c r="G13" s="1" t="inlineStr">
        <is>
          <t>Medium</t>
        </is>
      </c>
      <c r="H13" s="1" t="n">
        <v>2</v>
      </c>
      <c r="K13" s="1" t="inlineStr">
        <is>
          <t>20 - 49</t>
        </is>
      </c>
      <c r="L13" s="1" t="inlineStr">
        <is>
          <t>Medium</t>
        </is>
      </c>
      <c r="M13" s="1" t="n">
        <v>2</v>
      </c>
    </row>
    <row r="14">
      <c r="A14" s="1" t="inlineStr">
        <is>
          <t>3. Greater than 50 Yrs</t>
        </is>
      </c>
      <c r="B14" s="1" t="inlineStr">
        <is>
          <t>Low</t>
        </is>
      </c>
      <c r="C14" s="1" t="n">
        <v>1</v>
      </c>
    </row>
    <row r="17">
      <c r="K17" s="2" t="inlineStr">
        <is>
          <t>Attached Trucks</t>
        </is>
      </c>
      <c r="L17" s="2" t="inlineStr">
        <is>
          <t>Rating</t>
        </is>
      </c>
      <c r="M17" s="2" t="inlineStr">
        <is>
          <t>Weight</t>
        </is>
      </c>
      <c r="P17" s="2" t="inlineStr">
        <is>
          <t>MIS</t>
        </is>
      </c>
      <c r="Q17" s="2" t="inlineStr">
        <is>
          <t>Rating</t>
        </is>
      </c>
      <c r="R17" s="2" t="inlineStr">
        <is>
          <t>Weight</t>
        </is>
      </c>
      <c r="U17" s="2" t="inlineStr">
        <is>
          <t>Driver Insurance</t>
        </is>
      </c>
      <c r="V17" s="2" t="inlineStr">
        <is>
          <t>Rating</t>
        </is>
      </c>
      <c r="W17" s="2" t="inlineStr">
        <is>
          <t>Weight</t>
        </is>
      </c>
    </row>
    <row r="18">
      <c r="A18" s="2" t="inlineStr">
        <is>
          <t>Experience</t>
        </is>
      </c>
      <c r="B18" s="2" t="inlineStr">
        <is>
          <t>Rating</t>
        </is>
      </c>
      <c r="C18" s="2" t="inlineStr">
        <is>
          <t>Weight</t>
        </is>
      </c>
      <c r="K18" s="1" t="inlineStr">
        <is>
          <t>&lt; 100</t>
        </is>
      </c>
      <c r="L18" s="1" t="inlineStr">
        <is>
          <t>Low</t>
        </is>
      </c>
      <c r="M18" s="1" t="n">
        <v>1</v>
      </c>
      <c r="P18" s="1" t="inlineStr">
        <is>
          <t>Auto alerts for Exception &amp; System generated MIS</t>
        </is>
      </c>
      <c r="Q18" s="1" t="inlineStr">
        <is>
          <t>High</t>
        </is>
      </c>
      <c r="R18" s="1" t="n">
        <v>3</v>
      </c>
      <c r="U18" s="1" t="inlineStr">
        <is>
          <t>No</t>
        </is>
      </c>
      <c r="V18" s="1" t="inlineStr">
        <is>
          <t>Zero</t>
        </is>
      </c>
      <c r="W18" s="1" t="n">
        <v>0</v>
      </c>
    </row>
    <row r="19">
      <c r="A19" s="1" t="inlineStr">
        <is>
          <t>1. Less than 5 years</t>
        </is>
      </c>
      <c r="B19" s="1" t="inlineStr">
        <is>
          <t>Low</t>
        </is>
      </c>
      <c r="C19" s="1" t="n">
        <v>1</v>
      </c>
      <c r="K19" s="1" t="inlineStr">
        <is>
          <t>&gt; 300</t>
        </is>
      </c>
      <c r="L19" s="1" t="inlineStr">
        <is>
          <t>High</t>
        </is>
      </c>
      <c r="M19" s="1" t="n">
        <v>3</v>
      </c>
      <c r="P19" s="1" t="inlineStr">
        <is>
          <t>Manual MIS &amp; Tracking</t>
        </is>
      </c>
      <c r="Q19" s="1" t="inlineStr">
        <is>
          <t>Low</t>
        </is>
      </c>
      <c r="R19" s="1" t="n">
        <v>1</v>
      </c>
      <c r="U19" s="1" t="inlineStr">
        <is>
          <t>Yes</t>
        </is>
      </c>
      <c r="V19" s="1" t="inlineStr">
        <is>
          <t>High</t>
        </is>
      </c>
      <c r="W19" s="1" t="n">
        <v>3</v>
      </c>
    </row>
    <row r="20">
      <c r="A20" s="1" t="inlineStr">
        <is>
          <t>2. 5 to 10 years</t>
        </is>
      </c>
      <c r="B20" s="1" t="inlineStr">
        <is>
          <t>Medium</t>
        </is>
      </c>
      <c r="C20" s="1" t="n">
        <v>2</v>
      </c>
      <c r="K20" s="1" t="inlineStr">
        <is>
          <t>100 - 299</t>
        </is>
      </c>
      <c r="L20" s="1" t="inlineStr">
        <is>
          <t>Medium</t>
        </is>
      </c>
      <c r="M20" s="1" t="n">
        <v>2</v>
      </c>
      <c r="P20" s="1" t="inlineStr">
        <is>
          <t>No MIS</t>
        </is>
      </c>
      <c r="Q20" s="1" t="inlineStr">
        <is>
          <t>Zero</t>
        </is>
      </c>
      <c r="R20" s="1" t="n">
        <v>0</v>
      </c>
    </row>
    <row r="21">
      <c r="A21" s="1" t="inlineStr">
        <is>
          <t>3. Greater than 10 years</t>
        </is>
      </c>
      <c r="B21" s="1" t="inlineStr">
        <is>
          <t>High</t>
        </is>
      </c>
      <c r="C21" s="1" t="n">
        <v>3</v>
      </c>
      <c r="P21" s="1" t="inlineStr">
        <is>
          <t>System generated MIS</t>
        </is>
      </c>
      <c r="Q21" s="1" t="inlineStr">
        <is>
          <t>Medium</t>
        </is>
      </c>
      <c r="R21" s="1" t="n">
        <v>2</v>
      </c>
    </row>
    <row r="25">
      <c r="A25" s="2" t="inlineStr">
        <is>
          <t>Portfolio</t>
        </is>
      </c>
      <c r="B25" s="2" t="inlineStr">
        <is>
          <t>Rating</t>
        </is>
      </c>
      <c r="C25" s="2" t="inlineStr">
        <is>
          <t>Weight</t>
        </is>
      </c>
      <c r="U25" s="2" t="inlineStr">
        <is>
          <t>Driver Welfare</t>
        </is>
      </c>
      <c r="V25" s="2" t="inlineStr">
        <is>
          <t>Rating</t>
        </is>
      </c>
      <c r="W25" s="2" t="inlineStr">
        <is>
          <t>Weight</t>
        </is>
      </c>
    </row>
    <row r="26">
      <c r="A26" s="1" t="inlineStr">
        <is>
          <t>1. Total Logistic Service</t>
        </is>
      </c>
      <c r="B26" s="1" t="inlineStr">
        <is>
          <t>High</t>
        </is>
      </c>
      <c r="C26" s="1" t="n">
        <v>3</v>
      </c>
      <c r="U26" s="1" t="inlineStr">
        <is>
          <t>No</t>
        </is>
      </c>
      <c r="V26" s="1" t="inlineStr">
        <is>
          <t>Zero</t>
        </is>
      </c>
      <c r="W26" s="1" t="n">
        <v>0</v>
      </c>
    </row>
    <row r="27">
      <c r="A27" s="1" t="inlineStr">
        <is>
          <t>2. Diversified Business</t>
        </is>
      </c>
      <c r="B27" s="1" t="inlineStr">
        <is>
          <t>Medium</t>
        </is>
      </c>
      <c r="C27" s="1" t="n">
        <v>2</v>
      </c>
      <c r="U27" s="1" t="inlineStr">
        <is>
          <t>Yes</t>
        </is>
      </c>
      <c r="V27" s="1" t="inlineStr">
        <is>
          <t>High</t>
        </is>
      </c>
      <c r="W27" s="1" t="n">
        <v>3</v>
      </c>
    </row>
    <row r="28">
      <c r="A28" s="1" t="inlineStr">
        <is>
          <t>3. Only FTL</t>
        </is>
      </c>
      <c r="B28" s="1" t="inlineStr">
        <is>
          <t>Medium</t>
        </is>
      </c>
      <c r="C28" s="1" t="n">
        <v>2</v>
      </c>
    </row>
    <row r="29">
      <c r="A29" s="1" t="inlineStr">
        <is>
          <t>4. FTL / LTL</t>
        </is>
      </c>
      <c r="B29" s="1" t="inlineStr">
        <is>
          <t>Low</t>
        </is>
      </c>
      <c r="C29" s="1" t="n">
        <v>1</v>
      </c>
    </row>
  </sheetData>
  <pageMargins left="0.7" right="0.7" top="0.75" bottom="0.75" header="0.3" footer="0.3"/>
  <pageSetup orientation="portrait" paperSize="9"/>
  <tableParts count="1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RELIANCE LTD.</dc:creator>
  <dcterms:created xmlns:dcterms="http://purl.org/dc/terms/" xmlns:xsi="http://www.w3.org/2001/XMLSchema-instance" xsi:type="dcterms:W3CDTF">2001-03-21T06:42:51Z</dcterms:created>
  <dcterms:modified xmlns:dcterms="http://purl.org/dc/terms/" xmlns:xsi="http://www.w3.org/2001/XMLSchema-instance" xsi:type="dcterms:W3CDTF">2026-09-09T10:49:08Z</dcterms:modified>
  <cp:lastModifiedBy>jitendra jangir</cp:lastModifiedBy>
  <cp:lastPrinted>2001-03-21T12:46:52Z</cp:lastPrinted>
</cp:coreProperties>
</file>